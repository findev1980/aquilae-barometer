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znv.sharepoint.com/sites/Public/Gedeelde documenten/Public/VINCENT/SCANNING/Aquilae digitalisatie/Digitalisatie/2026/Barometer/"/>
    </mc:Choice>
  </mc:AlternateContent>
  <xr:revisionPtr revIDLastSave="9" documentId="8_{5E1FC7BC-0842-4377-BC9A-54D76ACE4E7D}" xr6:coauthVersionLast="47" xr6:coauthVersionMax="47" xr10:uidLastSave="{AE3A174E-4C33-4B97-815B-A30B6DA5BEFA}"/>
  <bookViews>
    <workbookView xWindow="28680" yWindow="-120" windowWidth="57840" windowHeight="15720" xr2:uid="{00000000-000D-0000-FFFF-FFFF00000000}"/>
  </bookViews>
  <sheets>
    <sheet name="NL" sheetId="1" r:id="rId1"/>
    <sheet name="FR"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<sst xmlns="http://schemas.openxmlformats.org/spreadsheetml/2006/main" count="770" uniqueCount="358">
  <si>
    <t>Kantoornaam</t>
  </si>
  <si>
    <t>Hoeveel zaakvoerders telt jouw kantoor?</t>
  </si>
  <si>
    <t>Wat is je jaarlijkse commissie (€) verzekeringen (inclusief kredieten)?</t>
  </si>
  <si>
    <t>Wat is je jaarlijkse commissie (€) bank? </t>
  </si>
  <si>
    <t>Hoe verdeelt je commissie zich over Particulier-KMO (in %)? </t>
  </si>
  <si>
    <t>Hoe verdeelt je commissie zich over Leven-BOAR (in %)?</t>
  </si>
  <si>
    <t>Met welke maatschappijen werk je vandaag het meest samen voor Niet-Leven? (rangschik volgens meest gebruikte maatschappij, in termen van productie) </t>
  </si>
  <si>
    <t>Met welke maatschappijen werk je vandaag het meest samen voor Leven? (rangschik volgens meest gebruikte maatschappij, in termen van productie) </t>
  </si>
  <si>
    <t>Hoe zou je de huidige groeifase van je kantoor omschrijven?</t>
  </si>
  <si>
    <t xml:space="preserve">Wat is vandaag al sterk ontwikkeld in je kantoor?
 </t>
  </si>
  <si>
    <t xml:space="preserve">Wat zijn momenteel jouw grootste uitdagingen?  </t>
  </si>
  <si>
    <t>Wat zijn jouw drie belangrijkste prioriteiten voor de komende jaren? Duid hieronder je top 3 doelen aan.</t>
  </si>
  <si>
    <t xml:space="preserve">Hoe tevreden ben je over Aquilae als collectief?
 </t>
  </si>
  <si>
    <t>Hoe waarschijnlijk is het dat je Aquilae zou aanbevelen aan een collega-makelaar?</t>
  </si>
  <si>
    <t>Wat zijn voor jou de belangrijkste redenen om lid te blijven van Aquilae?
Dat kan gaan van voordelen en samenwerkingen tot inspiratie, kennisdeling, opleidingen, digitale tools of iets helemaal an...</t>
  </si>
  <si>
    <t>Participatiecharter
Het participatiecharter maakt engagement binnen Aquilae zichtbaar, transparant en meetbaar. Het werkt met een eenvoudig puntensysteem dat toont welke leden actief bijdragen aan...</t>
  </si>
  <si>
    <t>Zakenkantoor Bogaerts</t>
  </si>
  <si>
    <t>verzekeringen;</t>
  </si>
  <si>
    <t>AXA;AG Insurance;Baloise;Vivium;Allianz;</t>
  </si>
  <si>
    <t>Vivium;AXA;AG Insurance;Baloise;Allianz;</t>
  </si>
  <si>
    <t>Stevig op koers – We hebben een stabiele klantenportefeuille en een goed draaiende werking. De focus ligt op efficiëntie, teamontwikkeling en verdere groei.;</t>
  </si>
  <si>
    <t>Fundament is gelegd, we werken goed en onze klanttevredenheid is hoog. We hebben nauwelijks veel klanten die weggaan</t>
  </si>
  <si>
    <t>Kruispunt: Uitbreiding met bediende of outsourcing schade</t>
  </si>
  <si>
    <t>Groei en klantenrelaties - Meer cross- en upselling bij bestaande klanten;Groei en klantenrelaties - Groei van het klantenbestand;Marketing en communicatie - Naamsbekendheid, zichtbaarheid en merkpositionering versterken;</t>
  </si>
  <si>
    <t>Tevreden</t>
  </si>
  <si>
    <t>Misschien</t>
  </si>
  <si>
    <t>Ik kan hier nog niet op antwoorden aangezien we nog maar net zijn toegetreden.
De kennisdeling en wat ik kan bijbrengen lijken me het belangrijkst op dit moment.</t>
  </si>
  <si>
    <t>Helemaal;</t>
  </si>
  <si>
    <t>Ja</t>
  </si>
  <si>
    <t>BCD INSURANCE (Zeker &amp; Vast)</t>
  </si>
  <si>
    <t>verzekeringen;bank;</t>
  </si>
  <si>
    <t>Baloise;AG Insurance;AXA;Vivium;Allianz;</t>
  </si>
  <si>
    <t>Baloise;Allianz;Vivium;AXA;AG Insurance;</t>
  </si>
  <si>
    <t>Stevig op koers – We hebben een stabiele klantenportefeuille en een goed draaiende werking. De focus ligt op efficiëntie, teamontwikkeling en verdere groei.;Verankerd en toekomstgericht – We zijn stevig ingebed in de markt, optimaliseren onze processen en rendabiliteit, en kijken vooruit naar mogelijke overname of opvolging.;</t>
  </si>
  <si>
    <t>digitalisatie, interne werking</t>
  </si>
  <si>
    <t>nvt</t>
  </si>
  <si>
    <t>Groei en klantenrelaties - Groei van het klantenbestand;Groei en klantenrelaties - Klantenbinding en tevredenheid versterken;</t>
  </si>
  <si>
    <t>Waarschijnlijk wel</t>
  </si>
  <si>
    <t>kennisdeling</t>
  </si>
  <si>
    <t>Gedeeltelijk</t>
  </si>
  <si>
    <t>Van Raemdonck Carlo</t>
  </si>
  <si>
    <t>verzekeringen;kredietmakelaar;</t>
  </si>
  <si>
    <t>90-10</t>
  </si>
  <si>
    <t>AG Insurance;Baloise;AXA;Vivium;Allianz;</t>
  </si>
  <si>
    <t>Onze goede naam en faam door service, bereikbaarheid, imago</t>
  </si>
  <si>
    <t>Als zaakvoerder alle "balletjes" in de lucht proberen te houden</t>
  </si>
  <si>
    <t>Groei en klantenrelaties - Klantenbinding en tevredenheid versterken;Groei en klantenrelaties - Meer cross- en upselling bij bestaande klanten;Efficiëntie en werking - Interne processen en werkmethodes optimaliseren;</t>
  </si>
  <si>
    <t>Neutraal</t>
  </si>
  <si>
    <t>Klankbord bij collega's, meesurfen op de belangrijkheid van een groep tov de verzekeraars, sur-commissie, opleidingen specifiek voor de zaakvoerder, enz.</t>
  </si>
  <si>
    <t>Gedeeltelijk;</t>
  </si>
  <si>
    <t>Dellafaille&amp;Co nv</t>
  </si>
  <si>
    <t>70-30</t>
  </si>
  <si>
    <t>60-40</t>
  </si>
  <si>
    <t>AG Insurance;Vivium;Baloise;AXA;Allianz;</t>
  </si>
  <si>
    <t>Vivium;AG Insurance;AXA;Allianz;Baloise;</t>
  </si>
  <si>
    <t>Stevig op koers – We hebben een stabiele klantenportefeuille en een goed draaiende werking. De focus ligt op efficiëntie, teamontwikkeling en verdere groei.;In volle opbouw – We leggen de fundamenten, bouwen aan zichtbaarheid en versterken stap voor stap ons klantenbestand.;Verankerd en toekomstgericht – We zijn stevig ingebed in de markt, optimaliseren onze processen en rendabiliteit, en kijken vooruit naar mogelijke overname of opvolging.;</t>
  </si>
  <si>
    <t>We zijn een gevestigde waarde in onze regio.</t>
  </si>
  <si>
    <t>Nieuwe werkwijze implementeren, verkoop maximaliseren.</t>
  </si>
  <si>
    <t>Groei en klantenrelaties - Groei van het klantenbestand;Groei en klantenrelaties - Meer cross- en upselling bij bestaande klanten;Marketing en communicatie - Professionelere communicatie met klanten (online en offline);Marketing en communicatie - Naamsbekendheid, zichtbaarheid en merkpositionering versterken;Marketing en communicatie - Actiever inzetten op sociale media en digitale kanalen;Efficiëntie en werking - Interne processen en werkmethodes optimaliseren;Mensen en organisatie - Samenwerking en kennisdeling in het team versterken;Mensen en organisatie - Leiderschap en betrokkenheid binnen het kantoor uitbouwen;Groei en klantenrelaties - Klantenbinding en tevredenheid versterken;</t>
  </si>
  <si>
    <t>Prijsafspraken met maatschappijen &amp; kanaal om met collega's moeilijkere thema's in alle neutraliteit te bespreken.</t>
  </si>
  <si>
    <t>Zakenkantoor B. De Clercq</t>
  </si>
  <si>
    <t>AG Insurance;Baloise;AXA;Allianz;Vivium;</t>
  </si>
  <si>
    <t>Baloise;AG Insurance;Allianz;AXA;Vivium;</t>
  </si>
  <si>
    <t>Marketing en serviceniveau</t>
  </si>
  <si>
    <t xml:space="preserve">Het belangrijkste doel is onze 4 grootste partnermaatschappijen verder van voldoende productie te voorzien. </t>
  </si>
  <si>
    <t>Groei en klantenrelaties - Groei van het klantenbestand;Mensen en organisatie - Talent aantrekken, ontwikkelen en behouden;Efficiëntie en werking - Interne processen en werkmethodes optimaliseren;</t>
  </si>
  <si>
    <t>Zeer tevreden</t>
  </si>
  <si>
    <t>Zeer zeker</t>
  </si>
  <si>
    <t xml:space="preserve">- Collectieve kracht binnen de sector. 
- Up to date blijven van belangrijke nieuwigheden binnen sector.
- Mogelijkheid tot overleg met gelijkgestemde collega's. </t>
  </si>
  <si>
    <t>Helemaal</t>
  </si>
  <si>
    <t>Verzekeringskantoor Coenen</t>
  </si>
  <si>
    <t>Baloise;AXA;AG Insurance;Vivium;Allianz;</t>
  </si>
  <si>
    <t>AG Insurance;AXA;Baloise;Allianz;Vivium;</t>
  </si>
  <si>
    <t>Digitaal werken, een werkcultuur gedragen door alle medewerkers</t>
  </si>
  <si>
    <t>Zorgen dat er processen opgezet worden zodat er geen uniforme manier van werken is en de onboarding bij nieuw personeel sneller kan</t>
  </si>
  <si>
    <t>Efficiëntie en werking - Interne processen en werkmethodes optimaliseren;Mensen en organisatie - Talent aantrekken, ontwikkelen en behouden;Groei en klantenrelaties - Meer cross- en upselling bij bestaande klanten;</t>
  </si>
  <si>
    <t>Netwerkmomenten met collega makelaars en kennisdatabank + conventies</t>
  </si>
  <si>
    <t>Lycke &amp; Van Huffel</t>
  </si>
  <si>
    <t>5-95</t>
  </si>
  <si>
    <t>Vivium;Allianz;AG Insurance;AXA;Baloise;</t>
  </si>
  <si>
    <t>Verankerd en toekomstgericht – We zijn stevig ingebed in de markt, optimaliseren onze processen en rendabiliteit, en kijken vooruit naar mogelijke overname of opvolging.;</t>
  </si>
  <si>
    <t>Baertplan</t>
  </si>
  <si>
    <t>50-50</t>
  </si>
  <si>
    <t>10-90</t>
  </si>
  <si>
    <t>AG Insurance;Vivium;Allianz;AXA;Baloise;</t>
  </si>
  <si>
    <t>Allianz;AG Insurance;Vivium;AXA;Baloise;</t>
  </si>
  <si>
    <t>interne werking</t>
  </si>
  <si>
    <t>digitalisatie</t>
  </si>
  <si>
    <t>Efficiëntie en werking - Administratie en kantoorwerking verder digitaliseren;Groei en klantenrelaties - Groei van het klantenbestand;Toekomst en partnerschappen - Groei via overname, fusie of samenwerking met andere kantoren;</t>
  </si>
  <si>
    <t>In alle eerlijkheid sloten we aan voor de interessante voordelen bij de verzekeringsmaatschappijen, maar zijn we gecharmeerd door de vele andere opportuniteiten. We denken dat vooral kennisdeling (op veel vlakken, bv het digitale) tussen de aangesloten kantoren een meerwaarde is. Het sterke netwerk lijkt ons belangrijker dan de opleidingen an sich.</t>
  </si>
  <si>
    <t>Ja;</t>
  </si>
  <si>
    <t>Welvaert &amp; Van Cauwenberghe</t>
  </si>
  <si>
    <t>80-20</t>
  </si>
  <si>
    <t>30-70</t>
  </si>
  <si>
    <t>Kantoor Lippens</t>
  </si>
  <si>
    <t>Baloise;AG Insurance;Allianz;Vivium;AXA;</t>
  </si>
  <si>
    <t>Baloise;Vivium;AG Insurance;Allianz;AXA;</t>
  </si>
  <si>
    <t>goed draaiende werking</t>
  </si>
  <si>
    <t>groei</t>
  </si>
  <si>
    <t>Groei en klantenrelaties - Meer cross- en upselling bij bestaande klanten;Mensen en organisatie - Talent aantrekken, ontwikkelen en behouden;Toekomst en partnerschappen - Groei via overname, fusie of samenwerking met andere kantoren;</t>
  </si>
  <si>
    <t>inspiratie, digitale tools</t>
  </si>
  <si>
    <t xml:space="preserve">Anthonis Zakenkantoor </t>
  </si>
  <si>
    <t>AG Insurance;AXA;Baloise;Vivium;Allianz;</t>
  </si>
  <si>
    <t>Niets</t>
  </si>
  <si>
    <t xml:space="preserve">Alles </t>
  </si>
  <si>
    <t>Groei en klantenrelaties - Meer cross- en upselling bij bestaande klanten;Efficiëntie en werking - Administratie en kantoorwerking verder digitaliseren;Mensen en organisatie - Leiderschap en betrokkenheid binnen het kantoor uitbouwen;</t>
  </si>
  <si>
    <t xml:space="preserve">Contact met collega's, mee met de insurtechs en de marktwijzigingen </t>
  </si>
  <si>
    <t>Van Snick,Kirsten &amp; Partners</t>
  </si>
  <si>
    <t>40-60</t>
  </si>
  <si>
    <t>4 -96</t>
  </si>
  <si>
    <t>In volle opbouw – We leggen de fundamenten, bouwen aan zichtbaarheid en versterken stap voor stap ons klantenbestand.;</t>
  </si>
  <si>
    <t xml:space="preserve">een team waarop we kunnen bouwen </t>
  </si>
  <si>
    <t>administratie bolwerken van alle aanpassingen en adreswijzigingen , maw de klodden</t>
  </si>
  <si>
    <t>Groei en klantenrelaties - Groei van het klantenbestand;Marketing en communicatie - Naamsbekendheid, zichtbaarheid en merkpositionering versterken;Efficiëntie en werking - Interne processen en werkmethodes optimaliseren;Marketing en communicatie - Actiever inzetten op sociale media en digitale kanalen;Groei en klantenrelaties - Klantenbinding en tevredenheid versterken;</t>
  </si>
  <si>
    <t xml:space="preserve">uitwerken  van projecten en deze implementeren. Hiertoe denk ik persoonlijk dat er nog meer hulp aan de kantoren kan geboden worden om meer rendabeler te worden. Kennis delen en een fijne community zijn. </t>
  </si>
  <si>
    <t>Eerder niet</t>
  </si>
  <si>
    <t>PROSPERUS</t>
  </si>
  <si>
    <t>Baloise;AXA;AG Insurance;Allianz;Vivium;</t>
  </si>
  <si>
    <t>In volle opbouw – We leggen de fundamenten, bouwen aan zichtbaarheid en versterken stap voor stap ons klantenbestand.;Stevig op koers – We hebben een stabiele klantenportefeuille en een goed draaiende werking. De focus ligt op efficiëntie, teamontwikkeling en verdere groei.;</t>
  </si>
  <si>
    <t xml:space="preserve">klanten contacten, digitaal, </t>
  </si>
  <si>
    <t>up to date houden Brio, sociale media, opvolging</t>
  </si>
  <si>
    <t>Groei en klantenrelaties - Meer cross- en upselling bij bestaande klanten;Marketing en communicatie - Professionelere communicatie met klanten (online en offline);Efficiëntie en werking - Interne processen en werkmethodes optimaliseren;Efficiëntie en werking - Administratie en kantoorwerking verder digitaliseren;</t>
  </si>
  <si>
    <t xml:space="preserve">als collectief in de markt staan, bijleren van elkaar en op de hoogte houden blijven van tendenzen, zich niet geisoleerd voelen </t>
  </si>
  <si>
    <t>WelZeker</t>
  </si>
  <si>
    <t>Vivium;Baloise;AXA;Allianz;AG Insurance;</t>
  </si>
  <si>
    <t>Segmentatie en visie hierrond</t>
  </si>
  <si>
    <t>Optimalisatie database na fusie van 3 kantoren, optimale werkverdeling op basis van segmentatie</t>
  </si>
  <si>
    <t>Groei en klantenrelaties - Meer cross- en upselling bij bestaande klanten;Mensen en organisatie - Talent aantrekken, ontwikkelen en behouden;Efficiëntie en werking - Interne processen en werkmethodes optimaliseren;</t>
  </si>
  <si>
    <t>Het gemeenschappelijk gevoel van collega makelaars die elkaar kunnen vinden en overleg plegen over alle aspecten van hun kantoor -en verzekeringswerking. Solide basis van kantoren met goede contacten.</t>
  </si>
  <si>
    <t>Baeten Verzekeringen</t>
  </si>
  <si>
    <t>Baloise;AG Insurance;Vivium;AXA;Allianz;</t>
  </si>
  <si>
    <t>Organisatie</t>
  </si>
  <si>
    <t>Wij zoeken naar samenwerkingen met andere kantoren om deze in de toekomst te kunnen overnemen</t>
  </si>
  <si>
    <t>Toekomst en partnerschappen - Groei via overname, fusie of samenwerking met andere kantoren;Marketing en communicatie - Professionelere communicatie met klanten (online en offline);Groei en klantenrelaties - Meer cross- en upselling bij bestaande klanten;</t>
  </si>
  <si>
    <t>De huidige veranderingen kwestie visie binnen Aquilae</t>
  </si>
  <si>
    <t>FINANCIAL OMNISERVICE INSURANCE</t>
  </si>
  <si>
    <t>Vivium;AXA;AG Insurance;Allianz;Baloise;</t>
  </si>
  <si>
    <t>MOEILIJKE VRAAG / ALLES KAN BETER</t>
  </si>
  <si>
    <t>UITDIEPEN VAN DE BESTAANDE PORTEFEUILLE + OVERGENOMEN BANKPORTEFEUILLE X-SELLEN MET VERZEKERINGEN</t>
  </si>
  <si>
    <t>Efficiëntie en werking - Interne processen en werkmethodes optimaliseren;Efficiëntie en werking - Administratie en kantoorwerking verder digitaliseren;Groei en klantenrelaties - Meer cross- en upselling bij bestaande klanten;</t>
  </si>
  <si>
    <t xml:space="preserve">COACHING OM DIGITALER TE WERKEN / DELEN VAN KENNIS EN ERVARING </t>
  </si>
  <si>
    <t>AVIKA VERZEKERINGEN</t>
  </si>
  <si>
    <t>Baloise;AXA;Vivium;AG Insurance;Allianz;</t>
  </si>
  <si>
    <t>Baloise;Vivium;AG Insurance;AXA;Allianz;</t>
  </si>
  <si>
    <t>duidelijke taakverdeling-organigram binnen kantoor die we geïntegreerd hebben in 2025, en de teamsfeer</t>
  </si>
  <si>
    <t>vervangen van een beleggingsadviseur die net zijn ontslag heeft gegeven en de integratie van een kleine verzekeringsportefeuille die wordt overgenomen per 1/2/2026</t>
  </si>
  <si>
    <t>Groei en klantenrelaties - Meer cross- en upselling bij bestaande klanten;Marketing en communicatie - Professionelere communicatie met klanten (online en offline);Mensen en organisatie - Talent aantrekken, ontwikkelen en behouden;</t>
  </si>
  <si>
    <t>Het delen van kennis met collega's en openstaan voor samenwerking met collega's, het verkrijgen van info en inzichten vanuit Aquilae die belangrijk zijn in het ondernemerschap als verzekeringsmakelaar zowel in leidinggeven, HR-beleid, digitalisering en visibiliteit met de Inzicht. Het financiële voordeel is een extra</t>
  </si>
  <si>
    <t>PUTZEYS</t>
  </si>
  <si>
    <t>Baloise;AG Insurance;Vivium;Allianz;AXA;</t>
  </si>
  <si>
    <t>goede vraag</t>
  </si>
  <si>
    <t>keuzes maken ifv toekomst. Voorbereiden op overname (5-8 jaar) en ondertussen relevant en rendabel blijven</t>
  </si>
  <si>
    <t>keuzes maken ifv toekomst. Voorbereiden op overname (5-8 jaar) en ondertussen relevant blijven;</t>
  </si>
  <si>
    <t>Is me nog niet duidelijk. Essentie was altijd de interactie met collega's en daaraan gekoppeld de extra rappels. Dit laatste is echter beduidend minder waardoor ik dit in vraag stel</t>
  </si>
  <si>
    <t>DLVV Verzekeringen &amp; Bankagent</t>
  </si>
  <si>
    <t>75-25</t>
  </si>
  <si>
    <t>20-80</t>
  </si>
  <si>
    <t>Allianz;AXA;AG Insurance;Vivium;Baloise;</t>
  </si>
  <si>
    <t>Weinig gezien recente overname van een aantal bestuurders (+ uitstap)</t>
  </si>
  <si>
    <t>Heel veel uitdagingen op de plank - interne organisatie, exposure als merk/kantoor</t>
  </si>
  <si>
    <t>Mensen en organisatie - Leiderschap en betrokkenheid binnen het kantoor uitbouwen;Efficiëntie en werking - Interne processen en werkmethodes optimaliseren;Groei en klantenrelaties - Klantenbinding en tevredenheid versterken;</t>
  </si>
  <si>
    <t>Gevoel dat er positieve wending naar toekomstige evolutie</t>
  </si>
  <si>
    <t>Vivium;AG Insurance;Allianz;Baloise;AXA;</t>
  </si>
  <si>
    <t>Efficientie en vakkennis</t>
  </si>
  <si>
    <t>nieuwe productie maken</t>
  </si>
  <si>
    <t>Groei en klantenrelaties - Groei van het klantenbestand;Groei en klantenrelaties - Meer cross- en upselling bij bestaande klanten;Mensen en organisatie - Talent aantrekken, ontwikkelen en behouden;Toekomst en partnerschappen - Voorbereiding op opvolging of overname;</t>
  </si>
  <si>
    <t>Kennisdeling, extra commissie</t>
  </si>
  <si>
    <t>Eerder niet;</t>
  </si>
  <si>
    <t>Thruvo</t>
  </si>
  <si>
    <t>AXA;AG Insurance;Baloise;Allianz;Vivium;</t>
  </si>
  <si>
    <t>Klantenbeleving</t>
  </si>
  <si>
    <t>HR</t>
  </si>
  <si>
    <t>Ervaringen delen, ontwikkeling en uitwerking van ideeën</t>
  </si>
  <si>
    <t>Aninpro</t>
  </si>
  <si>
    <t>Vivium;Baloise;AG Insurance;AXA;Allianz;</t>
  </si>
  <si>
    <t>kennis</t>
  </si>
  <si>
    <t>groeien zonder meer mensen te moeten aanwerven</t>
  </si>
  <si>
    <t>Groei en klantenrelaties - Meer cross- en upselling bij bestaande klanten;Efficiëntie en werking - Administratie en kantoorwerking verder digitaliseren;Groei en klantenrelaties - Groei van het klantenbestand;</t>
  </si>
  <si>
    <t>inspiratie, kennis delen en een alternatief bieden tegen de consolidatie op de markt</t>
  </si>
  <si>
    <t>DAMPORT BV</t>
  </si>
  <si>
    <t>AXA;AG Insurance;Allianz;Baloise;Vivium;</t>
  </si>
  <si>
    <t>efficiëntie, goed team</t>
  </si>
  <si>
    <t>bestaande portefeuille optimaliseren, portefeuille uitbouwen, medewerker met burnout</t>
  </si>
  <si>
    <t>Groei en klantenrelaties - Groei van het klantenbestand;Groei en klantenrelaties - Meer cross- en upselling bij bestaande klanten;Marketing en communicatie - Actiever inzetten op sociale media en digitale kanalen;</t>
  </si>
  <si>
    <t>te rade kunnen gaan bij collega's, proactief op de hoogte gebracht worden van nieuwe ontwikkelingen of producten, en uiteraard ook de financiële voordelen</t>
  </si>
  <si>
    <t>D'Hauwers verzekeringen</t>
  </si>
  <si>
    <t>Vivium;AXA;Baloise;Allianz;AG Insurance;</t>
  </si>
  <si>
    <t>efficiëntie + rendabiliteit van het kantoor, kan uiteraard altijd beter, is een constante dagelijkse oefening</t>
  </si>
  <si>
    <t>vinden van nieuwe klanten</t>
  </si>
  <si>
    <t>Groei en klantenrelaties - Groei van het klantenbestand;Toekomst en partnerschappen - Groei via overname, fusie of samenwerking met andere kantoren;Groei en klantenrelaties - Klantenbinding en tevredenheid versterken;</t>
  </si>
  <si>
    <t>uitwisselen van kennis en contacten zonder het gevoel te hebben dat we concurrenten zijn</t>
  </si>
  <si>
    <t xml:space="preserve">Vandekerckhove Smets Verzekeringen </t>
  </si>
  <si>
    <t>Vivium;AG Insurance;Baloise;Allianz;AXA;</t>
  </si>
  <si>
    <t>Vivium;Allianz;AG Insurance;Baloise;AXA;</t>
  </si>
  <si>
    <t>klantenrelaties (generatie op generatie)</t>
  </si>
  <si>
    <t>Vernieuwing - Verjonging</t>
  </si>
  <si>
    <t>Groei en klantenrelaties - Meer cross- en upselling bij bestaande klanten;Marketing en communicatie - Naamsbekendheid, zichtbaarheid en merkpositionering versterken;Marketing en communicatie - Professionelere communicatie met klanten (online en offline);Marketing en communicatie - Actiever inzetten op sociale media en digitale kanalen;Efficiëntie en werking - Interne processen en werkmethodes optimaliseren;Efficiëntie en werking - Administratie en kantoorwerking verder digitaliseren;Mensen en organisatie - Talent aantrekken, ontwikkelen en behouden;</t>
  </si>
  <si>
    <t>Netwerking + Kennisdeling</t>
  </si>
  <si>
    <t>RVB Consult Group</t>
  </si>
  <si>
    <t>automatisering</t>
  </si>
  <si>
    <t>Toekomst en partnerschappen - Groei via overname, fusie of samenwerking met andere kantoren;Mensen en organisatie - Leiderschap en betrokkenheid binnen het kantoor uitbouwen;Mensen en organisatie - Samenwerking en kennisdeling in het team versterken;Efficiëntie en werking - Administratie en kantoorwerking verder digitaliseren;Efficiëntie en werking - Interne processen en werkmethodes optimaliseren;Marketing en communicatie - Actiever inzetten op sociale media en digitale kanalen;</t>
  </si>
  <si>
    <t>tot 2025 passief lid, door nieuwe wind streven naar verdere professionalisering waarbij we ons kantoor en ook andere kantoren tot een geoliede machine kunnen maken.</t>
  </si>
  <si>
    <t>Organisatie, verkoop</t>
  </si>
  <si>
    <t>personeel vinden</t>
  </si>
  <si>
    <t>Mensen en organisatie - Talent aantrekken, ontwikkelen en behouden;Groei en klantenrelaties - Meer cross- en upselling bij bestaande klanten;Efficiëntie en werking - Interne processen en werkmethodes optimaliseren;</t>
  </si>
  <si>
    <t>De sterkte van de vereniging op diverse vlakken</t>
  </si>
  <si>
    <t>Ludo Janssen-Maes</t>
  </si>
  <si>
    <t xml:space="preserve">HR, IT, Efficiëntie, Organisatie </t>
  </si>
  <si>
    <t xml:space="preserve">Toekomst, aanwerven personeel, interne groei, financiën </t>
  </si>
  <si>
    <t>Mensen en organisatie - Talent aantrekken, ontwikkelen en behouden;Toekomst en partnerschappen - Groei via overname, fusie of samenwerking met andere kantoren;Groei en klantenrelaties - Meer cross- en upselling bij bestaande klanten;</t>
  </si>
  <si>
    <t xml:space="preserve">Ervaring en kennis delen met collega's, Toegang tot partners waar we anders geen toegang toe hadden. Info over IT-mogelijkheden. Ondersteuning management indien nodig. Financieel (zowel groepskortingen als commissie) </t>
  </si>
  <si>
    <t>Welke activiteiten oefent jouw kantoor vandaag uit</t>
  </si>
  <si>
    <t>Hoeveel bedienden telt jouw kantoor?</t>
  </si>
  <si>
    <t>66-34</t>
  </si>
  <si>
    <t>65-35</t>
  </si>
  <si>
    <t>2-98</t>
  </si>
  <si>
    <t>25-75</t>
  </si>
  <si>
    <t>Waarden Aquilae: Onze kernwaarden binnen het B2B-model</t>
  </si>
  <si>
    <t>Visie Aquilae: Aquilae wil hét referentiepunt zijn voor onafhankelijk ondernemerschap in de Belgische verzekeringssector</t>
  </si>
  <si>
    <t>Missie Aquilae: Aquilae versterkt onafhankelijke makelaars in hun groei als ondernemer</t>
  </si>
  <si>
    <t>Nom bureau:</t>
  </si>
  <si>
    <t>Quelles sont les activités exercées par votre bureau aujourd'hui ? (Vous pouvez sélectionner plusieurs réponses.)</t>
  </si>
  <si>
    <t>Combien de gérants compte votre bureau?</t>
  </si>
  <si>
    <t>Combien d'employés compte votre bureau ? (Indiquez le nombre d'ETP. 1,5 est possible)</t>
  </si>
  <si>
    <t>Quelle est votre commission annuelle (€) - assurances (crédits compris) ?</t>
  </si>
  <si>
    <t>Quelle est votre commission annuelle - banque (€) ?</t>
  </si>
  <si>
    <t>Comment se répartit votre commission entre les particuliers et les PME (en %) ?</t>
  </si>
  <si>
    <t>Comment se répartit votre commission entre Vie-IARD (en %) ?</t>
  </si>
  <si>
    <t>Avec quelles compagnies travaillez-vous le plus aujourd'hui dans le domaine Non-vie ? (classez-les par ordre de fréquence d'utilisation, en termes de production)</t>
  </si>
  <si>
    <t>Avec quelles compagnies travaillez-vous le plus aujourd'hui pour Vie ? (classez-les par ordre de fréquence d'utilisation, en termes de production)</t>
  </si>
  <si>
    <t>Comment décririez-vous la phase de croissance actuelle de votre bureau ?</t>
  </si>
  <si>
    <t>Qu'est-ce qui est déjà très développé dans votre bureau aujourd'hui ?</t>
  </si>
  <si>
    <t>Quels sont tes plus grands défis en ce moment ?</t>
  </si>
  <si>
    <t>Quelles sont vos trois principales priorités pour les années à venir ? Indiquez ci-dessous vos trois objectifs principaux.</t>
  </si>
  <si>
    <t>Dans quelle mesure êtes-vous satisfait d'Aquilae en tant que collectif?</t>
  </si>
  <si>
    <t>Dans quelle mesure recommanderiez-vous Aquilae à un collègue?</t>
  </si>
  <si>
    <t>Quelles sont pour vous les principales raisons de rester membre d'Aquilae?
Cela peut aller des avantages et des collaborations à l'inspiration, au partage de connaissances, aux formations, aux out...</t>
  </si>
  <si>
    <t>Charte de participation
La charte de participation rend l'engagement au sein d'Aquilae visible, transparent et mesurable. Elle fonctionne selon un système de points simple qui montre quels membres...</t>
  </si>
  <si>
    <t>Mission Aquilae : Aquilae soutient les agents immobiliers indépendants dans leur croissance en tant qu'entrepreneurs. Nous construisons une communauté solide qui rassemble les connaissances, l'exp...</t>
  </si>
  <si>
    <t>Vision d'Aquilae : Aquilae souhaite devenir la référence en matière d'entrepreneuriat indépendant dans le secteur belge des assurances. Grâce à un modèle B2B clair, nous réunissons des courtiers, ...</t>
  </si>
  <si>
    <t>Valeurs Aquilae: Nos valeurs fondamentales dans le modèle B2B : Authenticité (rester fidèle à soi-même et au client) — Qualité (soin et professionnalisme) — Unicité (préserver notre identité) — In...</t>
  </si>
  <si>
    <t>Invest-Conseil</t>
  </si>
  <si>
    <t>assurances;</t>
  </si>
  <si>
    <t>En bonne voie – Nous disposons d'un portefeuille de clients stable et d'un fonctionnement efficace. L'accent est mis sur l'efficacité, le développement de l'équipe et la poursuite de la croissance.;</t>
  </si>
  <si>
    <t>Satisfait</t>
  </si>
  <si>
    <t>Certainement</t>
  </si>
  <si>
    <t>Complètement;</t>
  </si>
  <si>
    <t>Pas du tout</t>
  </si>
  <si>
    <t>Oui</t>
  </si>
  <si>
    <t>Complètement</t>
  </si>
  <si>
    <t>Assurances Patrick Roba SRL</t>
  </si>
  <si>
    <t>En pleine expansion – Nous posons les fondations, renforçons notre visibilité et élargissons progressivement notre clientèle.;</t>
  </si>
  <si>
    <t>Rapporteur d'affaire, implémentation de l'IA, solidification du bien-être au travail</t>
  </si>
  <si>
    <t>Je prévois de redesigner complètement le bureau et engager du personnel (mon mi-temps part à la pension)</t>
  </si>
  <si>
    <t>Marketing et communication - Renforcer la notoriété, la visibilité et le positionnement de la marque;Marketing et communication - Utilisation plus active des réseaux sociaux et des canaux numériques;Efficacité et fonctionnement - Poursuivre la numérisation de l'administration et du fonctionnement des bureaux;</t>
  </si>
  <si>
    <t>Très satisfait</t>
  </si>
  <si>
    <t xml:space="preserve">Les opportunités de développement (formations,...), les relations sociales avec les membres, le gain financier que le groupe rapporte. </t>
  </si>
  <si>
    <t>oui;</t>
  </si>
  <si>
    <t>Partiellement</t>
  </si>
  <si>
    <t xml:space="preserve">4 trèfles SRL - bureau d'assurances Focvant </t>
  </si>
  <si>
    <t>35-65</t>
  </si>
  <si>
    <t xml:space="preserve">l'accroissement clients et CA </t>
  </si>
  <si>
    <t xml:space="preserve">engager du personnel </t>
  </si>
  <si>
    <t>Croissance et relations clients - Croissance de la clientèle;Croissance et relations clients - Renforcer la fidélisation et la satisfaction des clients;Croissance et relations clients - Plus de ventes croisées et incitatives auprès des clients existants;</t>
  </si>
  <si>
    <t xml:space="preserve">groupe qui allie éthique et valeur </t>
  </si>
  <si>
    <t>Peaceassur srl</t>
  </si>
  <si>
    <t xml:space="preserve">Fagnes Finances </t>
  </si>
  <si>
    <t>Allianz;AXA;Baloise;AG Insurance;Vivium;</t>
  </si>
  <si>
    <t>Aucune idée</t>
  </si>
  <si>
    <t>Organisation efficace du travail - rendre le bureau autonome sans le gérant</t>
  </si>
  <si>
    <t>Croissance et relations clients - Croissance de la clientèle;Marketing et communication - Renforcer la notoriété, la visibilité et le positionnement de la marque;Personnes et organisation - Renforcer la collaboration et le partage des connaissances au sein de l'équipe;</t>
  </si>
  <si>
    <t>Probablement</t>
  </si>
  <si>
    <t xml:space="preserve">Je suis un membre récent et j'ai donc peu de recule sur le groupement mais les échanges et le partage avec le groupe francophone est excellent. </t>
  </si>
  <si>
    <t>Cuvelier Assurances</t>
  </si>
  <si>
    <t>AXA;Baloise;Vivium;AG Insurance;Allianz;</t>
  </si>
  <si>
    <t>la transmission d'entreprise</t>
  </si>
  <si>
    <t>IA</t>
  </si>
  <si>
    <t>Avenir et partenariats - Croissance par acquisition, fusion ou collaboration avec d'autres bureaux;Avenir et partenariats - Préparation à la succession ou à la reprise;Personnes et organisation - Attirer, développer et retenir les talents;Efficacité et fonctionnement - Améliorer le suivi financier et la rentabilité;Efficacité et fonctionnement - Optimiser les processus internes et les méthodes de travail;Marketing et communication - Communication plus professionnelle avec les clients (en ligne et hors ligne);</t>
  </si>
  <si>
    <t>Neutre</t>
  </si>
  <si>
    <t>Professionalisme des membres et du staff d'Aquilae</t>
  </si>
  <si>
    <t>Plutôt pas;</t>
  </si>
  <si>
    <t>Les Assurances de l'M</t>
  </si>
  <si>
    <t>Vivium;AG Insurance;Baloise;AXA;Allianz;</t>
  </si>
  <si>
    <t>a quel niveau ?</t>
  </si>
  <si>
    <t>la digitalisation / le secteur de niche</t>
  </si>
  <si>
    <t>Croissance et relations clients - Croissance de la clientèle;Croissance et relations clients - Renforcer la fidélisation et la satisfaction des clients;Efficacité et fonctionnement - Optimiser les processus internes et les méthodes de travail;Efficacité et fonctionnement - Poursuivre la numérisation de l'administration et du fonctionnement des bureaux;Efficacité et fonctionnement - Améliorer le suivi financier et la rentabilité;</t>
  </si>
  <si>
    <t>Je pense qu'on peut vraiment faire un group incroyable qui peut aider les membres à rester dans le coup face aux avancées technologiques et aux mega broker qui rachètents à tout va</t>
  </si>
  <si>
    <t>Borq'Assur</t>
  </si>
  <si>
    <t>15-85</t>
  </si>
  <si>
    <t>Equipe stable et professionnelle. Clientèle fidèle.</t>
  </si>
  <si>
    <t>l'intégration de l'IA : menace ou opportunité pour notre métier ?</t>
  </si>
  <si>
    <t>Croissance et relations clients - Plus de ventes croisées et incitatives auprès des clients existants;Efficacité et fonctionnement - Optimiser les processus internes et les méthodes de travail;Efficacité et fonctionnement - Améliorer le suivi financier et la rentabilité;</t>
  </si>
  <si>
    <t xml:space="preserve">Aquilae est le seul groupement où les courtiers collaborent réellement ensemble, où la concurrence n'existe pas. Dès lors, les échanges et le partage de connaissances ont une valeur élevée. Aussi, dans un contexte en pleine évolution, (rachat par des gros groupes, l'IA,...), on n'est pas seuls. On fait partie d'un collectif national qui nous permet de voir ce qui se passe sur le marché. On peut faire part de nos craintes, de nos doutes. </t>
  </si>
  <si>
    <t xml:space="preserve">Srl Assurances Detrembleur &amp; Partners </t>
  </si>
  <si>
    <t>assurances;banque;</t>
  </si>
  <si>
    <t>AXA;AG Insurance;Vivium;Allianz;Baloise;</t>
  </si>
  <si>
    <t>Ancrés dans le présent et tournés vers l'avenir – Nous sommes solidement implantés sur le marché, optimisons nos processus et notre rentabilité, et envisageons l'avenir avec sérénité en réfléchissant à une éventuelle reprise ou succession.;</t>
  </si>
  <si>
    <t xml:space="preserve">Process </t>
  </si>
  <si>
    <t>Croissance et relations clients - Croissance de la clientèle;Efficacité et fonctionnement - Optimiser les processus internes et les méthodes de travail;Avenir et partenariats - Croissance par acquisition, fusion ou collaboration avec d'autres bureaux;</t>
  </si>
  <si>
    <t>partage de connaissance et globalisation de la production</t>
  </si>
  <si>
    <t>Partiellement;</t>
  </si>
  <si>
    <t>DH assurances &amp; crédits</t>
  </si>
  <si>
    <t>assurances;courtier en crédit;</t>
  </si>
  <si>
    <t>Digital</t>
  </si>
  <si>
    <t>Trouver du personnel</t>
  </si>
  <si>
    <t>Croissance et relations clients - Croissance de la clientèle;Efficacité et fonctionnement - Optimiser les processus internes et les méthodes de travail;Personnes et organisation - Attirer, développer et retenir les talents;</t>
  </si>
  <si>
    <t>Possibilité de travailler avec plusieurs compagnies malgré la taille du bureau, s'enrichir des connaissances des membres</t>
  </si>
  <si>
    <t>Courtiers Associés</t>
  </si>
  <si>
    <t>je ne vois pas quoi répondre</t>
  </si>
  <si>
    <t>gérer le personnel</t>
  </si>
  <si>
    <t>Personnes et organisation - Renforcer le leadership et l'engagement au sein du bureau;Personnes et organisation - Renforcer la collaboration et le partage des connaissances au sein de l'équipe;Efficacité et fonctionnement - Améliorer le suivi financier et la rentabilité;</t>
  </si>
  <si>
    <t>n'étant membre que depuis quelques mois, difficile de répondre</t>
  </si>
  <si>
    <t>Pas du tout;</t>
  </si>
  <si>
    <t>le commercial</t>
  </si>
  <si>
    <t xml:space="preserve">habiller la mariée </t>
  </si>
  <si>
    <t>Efficacité et fonctionnement - Améliorer le suivi financier et la rentabilité;Avenir et partenariats - Préparation à la succession ou à la reprise;Croissance et relations clients - Plus de ventes croisées et incitatives auprès des clients existants;</t>
  </si>
  <si>
    <t>partage, collaboration et commissions</t>
  </si>
  <si>
    <t>VFC et FCIB</t>
  </si>
  <si>
    <t>.</t>
  </si>
  <si>
    <t>je travail presque que chez VFC et je vais devoir reprendre FCIB</t>
  </si>
  <si>
    <t>Croissance et relations clients - Croissance de la clientèle;Croissance et relations clients - Renforcer la fidélisation et la satisfaction des clients;Efficacité et fonctionnement - Optimiser les processus internes et les méthodes de travail;Efficacité et fonctionnement - Poursuivre la numérisation de l'administration et du fonctionnement des bureaux;Personnes et organisation - Renforcer la collaboration et le partage des connaissances au sein de l'équipe;Personnes et organisation - Renforcer le leadership et l'engagement au sein du bureau;Avenir et partenariats - Préparation à la succession ou à la reprise;</t>
  </si>
  <si>
    <t xml:space="preserve">je trouve important d'être en contacte avec des confrères - consœurs, le group francophone Aquilae est très actif  tout le monde s'entre aide et ça fait du bien  </t>
  </si>
  <si>
    <t>Plutôt pas</t>
  </si>
  <si>
    <t>ERIC ROOSENS ET CIE</t>
  </si>
  <si>
    <t>85-15</t>
  </si>
  <si>
    <t>AXA;Baloise;AG Insurance;Vivium;Allianz;</t>
  </si>
  <si>
    <t>En bonne voie – Nous disposons d'un portefeuille de clients stable et d'un fonctionnement efficace. L'accent est mis sur l'efficacité, le développement de l'équipe et la poursuite de la croissance.;Ancrés dans le présent et tournés vers l'avenir – Nous sommes solidement implantés sur le marché, optimisons nos processus et notre rentabilité, et envisageons l'avenir avec sérénité en réfléchissant à une éventuelle reprise ou succession.;</t>
  </si>
  <si>
    <t xml:space="preserve">CADRE DE TERVAIL ET COLLABORATEURS DE QUALITE </t>
  </si>
  <si>
    <t>ROOTING COMMERCIAL</t>
  </si>
  <si>
    <t>Marketing et communication - Renforcer la notoriété, la visibilité et le positionnement de la marque;Croissance et relations clients - Plus de ventes croisées et incitatives auprès des clients existants;Croissance et relations clients - Croissance de la clientèle;</t>
  </si>
  <si>
    <t>PARTAGE DE CONNAISSANCES ET INDEPENDANCES VIS A VIS DES COMPAGNIECS</t>
  </si>
  <si>
    <t>AG Insurance;AXA;Vivium;Baloise;Allianz;</t>
  </si>
  <si>
    <t>Ai</t>
  </si>
  <si>
    <t>Améliorer les processus et l'efficacité</t>
  </si>
  <si>
    <t>Efficacité et fonctionnement - Optimiser les processus internes et les méthodes de travail;Personnes et organisation - Renforcer la collaboration et le partage des connaissances au sein de l'équipe;Croissance et relations clients - Renforcer la fidélisation et la satisfaction des clients;Croissance et relations clients - Croissance de la clientèle;Développement de l'AI ;</t>
  </si>
  <si>
    <t>L'échange d'expérience et l'entraide</t>
  </si>
  <si>
    <t xml:space="preserve">bureau de courtage E.BAUDOUX </t>
  </si>
  <si>
    <t>AG Insurance;AXA;Allianz;Baloise;Vivium;</t>
  </si>
  <si>
    <t xml:space="preserve">les compétences, la manière de fonctionner </t>
  </si>
  <si>
    <t xml:space="preserve">avoir l'équipe au complet et engager </t>
  </si>
  <si>
    <t>Efficacité et fonctionnement - Optimiser les processus internes et les méthodes de travail;Personnes et organisation - Renforcer le leadership et l'engagement au sein du bureau;Croissance et relations clients - Renforcer la fidélisation et la satisfaction des clients;</t>
  </si>
  <si>
    <t>hormis le point financier, le groupe de travail, en plus d'être une très bonne équipe, dynamique, mêle jeunesse et expérience, avec des profils très différents, c'est très enrichissant.</t>
  </si>
  <si>
    <t>Dietz Barthelemy</t>
  </si>
  <si>
    <t>en plein re organisation</t>
  </si>
  <si>
    <t>Un gestion de bureau qui tourne nickel</t>
  </si>
  <si>
    <t>Croissance et relations clients - Croissance de la clientèle;Marketing et communication - Renforcer la notoriété, la visibilité et le positionnement de la marque;Avenir et partenariats - Croissance par acquisition, fusion ou collaboration avec d'autres bureaux;</t>
  </si>
  <si>
    <t xml:space="preserve">super felling avec les autres membres du SUD, J'attend de voir le retour des sur commissions. </t>
  </si>
  <si>
    <t>Begassur</t>
  </si>
  <si>
    <t xml:space="preserve">La stabilité suite aux 2 rachats de portefeuille ces 5 dernières années. - L équipe efficace. </t>
  </si>
  <si>
    <t xml:space="preserve">relancer une proactivité commerciale </t>
  </si>
  <si>
    <t>Croissance et relations clients - Plus de ventes croisées et incitatives auprès des clients existants;Marketing et communication - Renforcer la notoriété, la visibilité et le positionnement de la marque;Marketing et communication - Utilisation plus active des réseaux sociaux et des canaux numériques;Croissance et relations clients - Croissance de la clientèle;</t>
  </si>
  <si>
    <t xml:space="preserve">Faire partie d'un groupement soudé permettant d'avoir un impact similaire aux megabrokers vis à vis des compagnies. </t>
  </si>
  <si>
    <t>Assurances Michez SRL</t>
  </si>
  <si>
    <t>Allianz;AG Insurance;AXA;Baloise;Vivium;</t>
  </si>
  <si>
    <t>Le contact client personnalisé</t>
  </si>
  <si>
    <t>Préparer la reprise d'un portefeuille prévue pour mi-2026</t>
  </si>
  <si>
    <t>Avenir et partenariats - Croissance par acquisition, fusion ou collaboration avec d'autres bureaux;Personnes et organisation - Attirer, développer et retenir les talents;Efficacité et fonctionnement - Optimiser les processus internes et les méthodes de travail;</t>
  </si>
  <si>
    <t>Partages de connaissances  / Développement de conventions - partenariats spécifiques avec les Compagnies (Produits, surcommissions, etc) / Outils numériques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</si>
</sst>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0.00\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49" fontId="0" fillId="0" borderId="0" xfId="0" applyNumberFormat="1"/>
    <xf numFmtId="49" fontId="0" fillId="0" borderId="0" xfId="0" quotePrefix="1" applyNumberFormat="1"/>
    <xf numFmtId="164" fontId="0" fillId="0" borderId="0" xfId="0" quotePrefix="1" applyNumberFormat="1"/>
    <xf numFmtId="164" fontId="0" fillId="0" borderId="0" xfId="0" applyNumberFormat="1"/>
    <xf numFmtId="2" fontId="0" fillId="0" borderId="0" xfId="0" quotePrefix="1" applyNumberFormat="1"/>
    <xf numFmtId="2" fontId="0" fillId="0" borderId="0" xfId="0" applyNumberFormat="1"/>
    <xf numFmtId="2" fontId="0" fillId="0" borderId="0" xfId="0" quotePrefix="1" applyNumberFormat="1" applyAlignment="1">
      <alignment horizontal="left"/>
    </xf>
  </cellXfs>
  <cellStyles count="1">
    <cellStyle name="Standaard" xfId="0" builtinId="0"/>
  </cellStyles>
  <dxfs count="43">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164" formatCode="#,##0.00_ ;\-#,##0.00\ "/>
    </dxf>
    <dxf>
      <numFmt numFmtId="164" formatCode="#,##0.00_ ;\-#,##0.00\ "/>
    </dxf>
    <dxf>
      <numFmt numFmtId="2" formatCode="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27" totalsRowShown="0">
  <autoFilter ref="A1:U27" xr:uid="{00000000-0009-0000-0100-000001000000}"/>
  <tableColumns count="21">
    <tableColumn id="7" xr3:uid="{00000000-0010-0000-0000-000007000000}" name="Kantoornaam" dataDxfId="42"/>
    <tableColumn id="9" xr3:uid="{00000000-0010-0000-0000-000009000000}" name="Welke activiteiten oefent jouw kantoor vandaag uit" dataDxfId="41"/>
    <tableColumn id="10" xr3:uid="{00000000-0010-0000-0000-00000A000000}" name="Hoeveel zaakvoerders telt jouw kantoor?" dataDxfId="40"/>
    <tableColumn id="11" xr3:uid="{00000000-0010-0000-0000-00000B000000}" name="Hoeveel bedienden telt jouw kantoor?" dataDxfId="39"/>
    <tableColumn id="12" xr3:uid="{00000000-0010-0000-0000-00000C000000}" name="Wat is je jaarlijkse commissie (€) verzekeringen (inclusief kredieten)?" dataDxfId="38"/>
    <tableColumn id="13" xr3:uid="{00000000-0010-0000-0000-00000D000000}" name="Wat is je jaarlijkse commissie (€) bank? " dataDxfId="37"/>
    <tableColumn id="14" xr3:uid="{00000000-0010-0000-0000-00000E000000}" name="Hoe verdeelt je commissie zich over Particulier-KMO (in %)? " dataDxfId="36"/>
    <tableColumn id="15" xr3:uid="{00000000-0010-0000-0000-00000F000000}" name="Hoe verdeelt je commissie zich over Leven-BOAR (in %)?" dataDxfId="35"/>
    <tableColumn id="16" xr3:uid="{00000000-0010-0000-0000-000010000000}" name="Met welke maatschappijen werk je vandaag het meest samen voor Niet-Leven? (rangschik volgens meest gebruikte maatschappij, in termen van productie) " dataDxfId="34"/>
    <tableColumn id="17" xr3:uid="{00000000-0010-0000-0000-000011000000}" name="Met welke maatschappijen werk je vandaag het meest samen voor Leven? (rangschik volgens meest gebruikte maatschappij, in termen van productie) " dataDxfId="33"/>
    <tableColumn id="18" xr3:uid="{00000000-0010-0000-0000-000012000000}" name="Hoe zou je de huidige groeifase van je kantoor omschrijven?" dataDxfId="32"/>
    <tableColumn id="19" xr3:uid="{00000000-0010-0000-0000-000013000000}" name="Wat is vandaag al sterk ontwikkeld in je kantoor?_x000a_ " dataDxfId="31"/>
    <tableColumn id="20" xr3:uid="{00000000-0010-0000-0000-000014000000}" name="Wat zijn momenteel jouw grootste uitdagingen?  " dataDxfId="30"/>
    <tableColumn id="21" xr3:uid="{00000000-0010-0000-0000-000015000000}" name="Wat zijn jouw drie belangrijkste prioriteiten voor de komende jaren? Duid hieronder je top 3 doelen aan." dataDxfId="29"/>
    <tableColumn id="22" xr3:uid="{00000000-0010-0000-0000-000016000000}" name="Hoe tevreden ben je over Aquilae als collectief?_x000a_ " dataDxfId="28"/>
    <tableColumn id="23" xr3:uid="{00000000-0010-0000-0000-000017000000}" name="Hoe waarschijnlijk is het dat je Aquilae zou aanbevelen aan een collega-makelaar?" dataDxfId="27"/>
    <tableColumn id="24" xr3:uid="{00000000-0010-0000-0000-000018000000}" name="Wat zijn voor jou de belangrijkste redenen om lid te blijven van Aquilae?_x000a_Dat kan gaan van voordelen en samenwerkingen tot inspiratie, kennisdeling, opleidingen, digitale tools of iets helemaal an..." dataDxfId="26"/>
    <tableColumn id="25" xr3:uid="{00000000-0010-0000-0000-000019000000}" name="Participatiecharter_x000a_Het participatiecharter maakt engagement binnen Aquilae zichtbaar, transparant en meetbaar. Het werkt met een eenvoudig puntensysteem dat toont welke leden actief bijdragen aan..." dataDxfId="25"/>
    <tableColumn id="33" xr3:uid="{00000000-0010-0000-0000-000021000000}" name="Missie Aquilae: Aquilae versterkt onafhankelijke makelaars in hun groei als ondernemer" dataDxfId="24"/>
    <tableColumn id="34" xr3:uid="{00000000-0010-0000-0000-000022000000}" name="Visie Aquilae: Aquilae wil hét referentiepunt zijn voor onafhankelijk ondernemerschap in de Belgische verzekeringssector" dataDxfId="23"/>
    <tableColumn id="35" xr3:uid="{00000000-0010-0000-0000-000023000000}" name="Waarden Aquilae: Onze kernwaarden binnen het B2B-model"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50D7E1-10D0-41BD-9A76-4729472A0DE3}" name="Table13" displayName="Table13" ref="A1:U18" totalsRowShown="0">
  <autoFilter ref="A1:U18" xr:uid="{7950D7E1-10D0-41BD-9A76-4729472A0DE3}"/>
  <tableColumns count="21">
    <tableColumn id="7" xr3:uid="{5843D339-0DF4-4A74-AA52-4C43A1A020E4}" name="Nom bureau:" dataDxfId="21"/>
    <tableColumn id="9" xr3:uid="{EE8CB83B-F946-4E59-A9F6-38D5704E1774}" name="Quelles sont les activités exercées par votre bureau aujourd'hui ? (Vous pouvez sélectionner plusieurs réponses.)" dataDxfId="20"/>
    <tableColumn id="10" xr3:uid="{7053A673-43D4-49A1-B9FB-8F8EE24F8778}" name="Combien de gérants compte votre bureau?" dataDxfId="19"/>
    <tableColumn id="11" xr3:uid="{68972C4B-3182-4F20-B92E-DB589DCD61B8}" name="Combien d'employés compte votre bureau ? (Indiquez le nombre d'ETP. 1,5 est possible)" dataDxfId="18"/>
    <tableColumn id="12" xr3:uid="{64567C36-7B18-42DF-9462-E0130AC1055F}" name="Quelle est votre commission annuelle (€) - assurances (crédits compris) ?" dataDxfId="17"/>
    <tableColumn id="13" xr3:uid="{4E5386D7-2600-43BE-B226-E4093C22C487}" name="Quelle est votre commission annuelle - banque (€) ?" dataDxfId="16"/>
    <tableColumn id="14" xr3:uid="{29F385FE-1007-49B4-945C-C40916AA0E1D}" name="Comment se répartit votre commission entre les particuliers et les PME (en %) ?" dataDxfId="15"/>
    <tableColumn id="15" xr3:uid="{B5FCA7B3-AD95-426E-AE48-A7A8152D51A2}" name="Comment se répartit votre commission entre Vie-IARD (en %) ?" dataDxfId="14"/>
    <tableColumn id="16" xr3:uid="{E59F2D8A-92F5-4C3B-80F6-29330C302D43}" name="Avec quelles compagnies travaillez-vous le plus aujourd'hui dans le domaine Non-vie ? (classez-les par ordre de fréquence d'utilisation, en termes de production)" dataDxfId="13"/>
    <tableColumn id="17" xr3:uid="{2B552D9B-FD93-489A-A976-C30DD3B9E465}" name="Avec quelles compagnies travaillez-vous le plus aujourd'hui pour Vie ? (classez-les par ordre de fréquence d'utilisation, en termes de production)" dataDxfId="12"/>
    <tableColumn id="18" xr3:uid="{6F725740-9A70-4C5E-AF00-DC38DFE21F92}" name="Comment décririez-vous la phase de croissance actuelle de votre bureau ?" dataDxfId="11"/>
    <tableColumn id="19" xr3:uid="{7C72D0BC-F820-46E9-9C8E-A9AEF7EA116B}" name="Qu'est-ce qui est déjà très développé dans votre bureau aujourd'hui ?" dataDxfId="10"/>
    <tableColumn id="20" xr3:uid="{A89A469F-28E9-4831-A9D2-B49349F6DB1E}" name="Quels sont tes plus grands défis en ce moment ?" dataDxfId="9"/>
    <tableColumn id="21" xr3:uid="{546DC6D6-7C1B-4FD6-8F5B-261E32C6C5B3}" name="Quelles sont vos trois principales priorités pour les années à venir ? Indiquez ci-dessous vos trois objectifs principaux." dataDxfId="8"/>
    <tableColumn id="22" xr3:uid="{6B04031E-9157-4E8F-A0A0-B3F5C373B75D}" name="Dans quelle mesure êtes-vous satisfait d'Aquilae en tant que collectif?" dataDxfId="7"/>
    <tableColumn id="23" xr3:uid="{AE2DD72A-1F3F-4432-B015-86D16DD1F62C}" name="Dans quelle mesure recommanderiez-vous Aquilae à un collègue?" dataDxfId="6"/>
    <tableColumn id="24" xr3:uid="{260607AE-53A3-4EBB-8CAE-A1E9819ECC00}" name="Quelles sont pour vous les principales raisons de rester membre d'Aquilae?_x000a_Cela peut aller des avantages et des collaborations à l'inspiration, au partage de connaissances, aux formations, aux out..." dataDxfId="5"/>
    <tableColumn id="25" xr3:uid="{14677366-5622-49BD-A39C-3597CD4B0909}" name="Charte de participation_x000a_La charte de participation rend l'engagement au sein d'Aquilae visible, transparent et mesurable. Elle fonctionne selon un système de points simple qui montre quels membres..." dataDxfId="4"/>
    <tableColumn id="33" xr3:uid="{394074CB-DC39-4218-AF54-BAAFF89C3E44}" name="Mission Aquilae : Aquilae soutient les agents immobiliers indépendants dans leur croissance en tant qu'entrepreneurs. Nous construisons une communauté solide qui rassemble les connaissances, l'exp..." dataDxfId="3"/>
    <tableColumn id="34" xr3:uid="{BA1683BB-827E-4978-876A-C4362F209722}" name="Vision d'Aquilae : Aquilae souhaite devenir la référence en matière d'entrepreneuriat indépendant dans le secteur belge des assurances. Grâce à un modèle B2B clair, nous réunissons des courtiers, ..." dataDxfId="2"/>
    <tableColumn id="35" xr3:uid="{C7A009A6-F50F-4976-B129-0D1C9C947D4B}" name="Valeurs Aquilae: Nos valeurs fondamentales dans le modèle B2B : Authenticité (rester fidèle à soi-même et au client) — Qualité (soin et professionnalisme) — Unicité (préserver notre identité) — I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C941B6-3CE0-4806-90CB-8B11244C31BD}">
  <we:reference id="wa200009404" version="1.0.0.8" store="en-US" storeType="omex"/>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
  <sheetViews>
    <sheetView tabSelected="1" workbookViewId="0">
      <selection activeCell="A8" sqref="A8:XFD8"/>
    </sheetView>
  </sheetViews>
  <sheetFormatPr defaultRowHeight="15" x14ac:dyDescent="0.25"/>
  <cols>
    <col min="1" max="1" width="36.42578125" bestFit="1" customWidth="1"/>
    <col min="2" max="2" width="50.140625" bestFit="1" customWidth="1"/>
    <col min="3" max="3" width="40.5703125" bestFit="1" customWidth="1"/>
    <col min="4" max="4" width="23.140625" customWidth="1"/>
    <col min="5" max="5" width="40.42578125" customWidth="1"/>
    <col min="6" max="6" width="39" customWidth="1"/>
    <col min="7" max="7" width="58.42578125" bestFit="1" customWidth="1"/>
    <col min="8" max="8" width="54.7109375" bestFit="1" customWidth="1"/>
    <col min="9" max="9" width="145.28515625" bestFit="1" customWidth="1"/>
    <col min="10" max="10" width="140.5703125" bestFit="1" customWidth="1"/>
    <col min="11" max="11" width="255.7109375" bestFit="1" customWidth="1"/>
    <col min="12" max="12" width="112" bestFit="1" customWidth="1"/>
    <col min="13" max="13" width="154.5703125" bestFit="1" customWidth="1"/>
    <col min="14" max="14" width="255.7109375" bestFit="1" customWidth="1"/>
    <col min="15" max="16" width="20" bestFit="1" customWidth="1"/>
    <col min="17" max="17" width="255.7109375" bestFit="1" customWidth="1"/>
    <col min="18" max="18" width="20" bestFit="1" customWidth="1"/>
    <col min="19" max="19" width="83.7109375" bestFit="1" customWidth="1"/>
    <col min="20" max="20" width="114.5703125" bestFit="1" customWidth="1"/>
    <col min="21" max="21" width="58.28515625" bestFit="1" customWidth="1"/>
  </cols>
  <sheetData>
    <row r="1" spans="1:21" x14ac:dyDescent="0.25">
      <c r="A1" t="s">
        <v>0</v>
      </c>
      <c r="B1" t="s">
        <v>211</v>
      </c>
      <c r="C1" t="s">
        <v>1</v>
      </c>
      <c r="D1" t="s">
        <v>212</v>
      </c>
      <c r="E1" t="s">
        <v>2</v>
      </c>
      <c r="F1" t="s">
        <v>3</v>
      </c>
      <c r="G1" t="s">
        <v>4</v>
      </c>
      <c r="H1" t="s">
        <v>5</v>
      </c>
      <c r="I1" t="s">
        <v>6</v>
      </c>
      <c r="J1" t="s">
        <v>7</v>
      </c>
      <c r="K1" t="s">
        <v>8</v>
      </c>
      <c r="L1" t="s">
        <v>9</v>
      </c>
      <c r="M1" t="s">
        <v>10</v>
      </c>
      <c r="N1" t="s">
        <v>11</v>
      </c>
      <c r="O1" t="s">
        <v>12</v>
      </c>
      <c r="P1" t="s">
        <v>13</v>
      </c>
      <c r="Q1" t="s">
        <v>14</v>
      </c>
      <c r="R1" t="s">
        <v>15</v>
      </c>
      <c r="S1" t="s">
        <v>219</v>
      </c>
      <c r="T1" t="s">
        <v>218</v>
      </c>
      <c r="U1" t="s">
        <v>217</v>
      </c>
    </row>
    <row r="2" spans="1:21" x14ac:dyDescent="0.25">
      <c r="A2" t="s">
        <v>16</v>
      </c>
      <c r="B2" t="s">
        <v>17</v>
      </c>
      <c r="C2" s="6">
        <v>2</v>
      </c>
      <c r="D2" s="6">
        <v>0</v>
      </c>
      <c r="E2" s="4">
        <v>300000</v>
      </c>
      <c r="F2" s="4">
        <v>0</v>
      </c>
      <c r="G2" t="s">
        <v>213</v>
      </c>
      <c r="H2" s="2" t="s">
        <v>215</v>
      </c>
      <c r="I2" t="s">
        <v>18</v>
      </c>
      <c r="J2" t="s">
        <v>19</v>
      </c>
      <c r="K2" t="s">
        <v>20</v>
      </c>
      <c r="L2" t="s">
        <v>21</v>
      </c>
      <c r="M2" t="s">
        <v>22</v>
      </c>
      <c r="N2" t="s">
        <v>23</v>
      </c>
      <c r="O2" t="s">
        <v>24</v>
      </c>
      <c r="P2" t="s">
        <v>25</v>
      </c>
      <c r="Q2" t="s">
        <v>26</v>
      </c>
      <c r="R2" t="s">
        <v>27</v>
      </c>
      <c r="S2" t="s">
        <v>28</v>
      </c>
      <c r="T2" t="s">
        <v>28</v>
      </c>
      <c r="U2" t="s">
        <v>28</v>
      </c>
    </row>
    <row r="3" spans="1:21" x14ac:dyDescent="0.25">
      <c r="A3" t="s">
        <v>29</v>
      </c>
      <c r="B3" t="s">
        <v>30</v>
      </c>
      <c r="C3" s="6">
        <v>4</v>
      </c>
      <c r="D3" s="6">
        <v>13</v>
      </c>
      <c r="E3" s="5">
        <v>1725000</v>
      </c>
      <c r="F3" s="5">
        <v>1025000</v>
      </c>
      <c r="G3" t="s">
        <v>51</v>
      </c>
      <c r="H3" s="2" t="s">
        <v>93</v>
      </c>
      <c r="I3" t="s">
        <v>31</v>
      </c>
      <c r="J3" t="s">
        <v>32</v>
      </c>
      <c r="K3" t="s">
        <v>33</v>
      </c>
      <c r="L3" t="s">
        <v>34</v>
      </c>
      <c r="M3" t="s">
        <v>35</v>
      </c>
      <c r="N3" t="s">
        <v>36</v>
      </c>
      <c r="O3" t="s">
        <v>24</v>
      </c>
      <c r="P3" t="s">
        <v>37</v>
      </c>
      <c r="Q3" t="s">
        <v>38</v>
      </c>
      <c r="R3" t="s">
        <v>27</v>
      </c>
      <c r="S3" t="s">
        <v>28</v>
      </c>
      <c r="T3" t="s">
        <v>39</v>
      </c>
      <c r="U3" t="s">
        <v>28</v>
      </c>
    </row>
    <row r="4" spans="1:21" x14ac:dyDescent="0.25">
      <c r="A4" t="s">
        <v>40</v>
      </c>
      <c r="B4" t="s">
        <v>41</v>
      </c>
      <c r="C4" s="6">
        <v>1</v>
      </c>
      <c r="D4" s="6">
        <v>6.5</v>
      </c>
      <c r="E4" s="4">
        <v>870000</v>
      </c>
      <c r="F4" s="4">
        <v>0</v>
      </c>
      <c r="G4" t="s">
        <v>42</v>
      </c>
      <c r="H4" s="2" t="s">
        <v>83</v>
      </c>
      <c r="I4" t="s">
        <v>43</v>
      </c>
      <c r="J4" t="s">
        <v>31</v>
      </c>
      <c r="K4" t="s">
        <v>20</v>
      </c>
      <c r="L4" t="s">
        <v>44</v>
      </c>
      <c r="M4" t="s">
        <v>45</v>
      </c>
      <c r="N4" t="s">
        <v>46</v>
      </c>
      <c r="O4" t="s">
        <v>47</v>
      </c>
      <c r="P4" t="s">
        <v>25</v>
      </c>
      <c r="Q4" t="s">
        <v>48</v>
      </c>
      <c r="R4" t="s">
        <v>49</v>
      </c>
      <c r="S4" t="s">
        <v>28</v>
      </c>
      <c r="T4" t="s">
        <v>28</v>
      </c>
      <c r="U4" t="s">
        <v>28</v>
      </c>
    </row>
    <row r="5" spans="1:21" x14ac:dyDescent="0.25">
      <c r="A5" t="s">
        <v>50</v>
      </c>
      <c r="B5" t="s">
        <v>17</v>
      </c>
      <c r="C5" s="6">
        <v>1</v>
      </c>
      <c r="D5" s="6">
        <v>12.35</v>
      </c>
      <c r="E5" s="4">
        <v>1200000</v>
      </c>
      <c r="F5" s="4">
        <v>0</v>
      </c>
      <c r="G5" t="s">
        <v>51</v>
      </c>
      <c r="H5" s="2" t="s">
        <v>108</v>
      </c>
      <c r="I5" t="s">
        <v>53</v>
      </c>
      <c r="J5" t="s">
        <v>54</v>
      </c>
      <c r="K5" t="s">
        <v>55</v>
      </c>
      <c r="L5" t="s">
        <v>56</v>
      </c>
      <c r="M5" t="s">
        <v>57</v>
      </c>
      <c r="N5" t="s">
        <v>58</v>
      </c>
      <c r="O5" t="s">
        <v>24</v>
      </c>
      <c r="P5" t="s">
        <v>37</v>
      </c>
      <c r="Q5" t="s">
        <v>59</v>
      </c>
      <c r="R5" t="s">
        <v>49</v>
      </c>
      <c r="S5" t="s">
        <v>28</v>
      </c>
      <c r="T5" t="s">
        <v>28</v>
      </c>
      <c r="U5" t="s">
        <v>28</v>
      </c>
    </row>
    <row r="6" spans="1:21" x14ac:dyDescent="0.25">
      <c r="A6" t="s">
        <v>60</v>
      </c>
      <c r="B6" t="s">
        <v>41</v>
      </c>
      <c r="C6" s="6">
        <v>2</v>
      </c>
      <c r="D6" s="7">
        <v>2.6</v>
      </c>
      <c r="E6" s="4">
        <v>600000</v>
      </c>
      <c r="F6" s="5">
        <v>0</v>
      </c>
      <c r="G6" t="s">
        <v>52</v>
      </c>
      <c r="H6" s="2" t="s">
        <v>83</v>
      </c>
      <c r="I6" t="s">
        <v>61</v>
      </c>
      <c r="J6" t="s">
        <v>62</v>
      </c>
      <c r="K6" t="s">
        <v>20</v>
      </c>
      <c r="L6" t="s">
        <v>63</v>
      </c>
      <c r="M6" t="s">
        <v>64</v>
      </c>
      <c r="N6" t="s">
        <v>65</v>
      </c>
      <c r="O6" t="s">
        <v>66</v>
      </c>
      <c r="P6" t="s">
        <v>67</v>
      </c>
      <c r="Q6" s="1" t="s">
        <v>68</v>
      </c>
      <c r="R6" t="s">
        <v>27</v>
      </c>
      <c r="S6" t="s">
        <v>69</v>
      </c>
      <c r="T6" t="s">
        <v>69</v>
      </c>
      <c r="U6" t="s">
        <v>69</v>
      </c>
    </row>
    <row r="7" spans="1:21" x14ac:dyDescent="0.25">
      <c r="A7" t="s">
        <v>70</v>
      </c>
      <c r="B7" t="s">
        <v>41</v>
      </c>
      <c r="C7" s="6">
        <v>3</v>
      </c>
      <c r="D7" s="7">
        <v>4.3499999999999996</v>
      </c>
      <c r="E7" s="4">
        <v>915000</v>
      </c>
      <c r="F7" s="4">
        <v>0</v>
      </c>
      <c r="G7" t="s">
        <v>214</v>
      </c>
      <c r="H7" s="2" t="s">
        <v>156</v>
      </c>
      <c r="I7" t="s">
        <v>71</v>
      </c>
      <c r="J7" t="s">
        <v>72</v>
      </c>
      <c r="K7" t="s">
        <v>33</v>
      </c>
      <c r="L7" t="s">
        <v>73</v>
      </c>
      <c r="M7" t="s">
        <v>74</v>
      </c>
      <c r="N7" t="s">
        <v>75</v>
      </c>
      <c r="O7" t="s">
        <v>24</v>
      </c>
      <c r="P7" t="s">
        <v>67</v>
      </c>
      <c r="Q7" t="s">
        <v>76</v>
      </c>
      <c r="R7" t="s">
        <v>27</v>
      </c>
      <c r="S7" t="s">
        <v>69</v>
      </c>
      <c r="T7" t="s">
        <v>69</v>
      </c>
      <c r="U7" t="s">
        <v>69</v>
      </c>
    </row>
    <row r="8" spans="1:21" x14ac:dyDescent="0.25">
      <c r="A8" t="s">
        <v>81</v>
      </c>
      <c r="B8" t="s">
        <v>17</v>
      </c>
      <c r="C8" s="6">
        <v>2</v>
      </c>
      <c r="D8" s="6">
        <v>2</v>
      </c>
      <c r="E8" s="4">
        <v>500000</v>
      </c>
      <c r="F8" s="4">
        <v>0</v>
      </c>
      <c r="G8" t="s">
        <v>82</v>
      </c>
      <c r="H8" s="2" t="s">
        <v>83</v>
      </c>
      <c r="I8" t="s">
        <v>84</v>
      </c>
      <c r="J8" t="s">
        <v>85</v>
      </c>
      <c r="K8" t="s">
        <v>20</v>
      </c>
      <c r="L8" t="s">
        <v>86</v>
      </c>
      <c r="M8" t="s">
        <v>87</v>
      </c>
      <c r="N8" t="s">
        <v>88</v>
      </c>
      <c r="O8" t="s">
        <v>24</v>
      </c>
      <c r="P8" t="s">
        <v>37</v>
      </c>
      <c r="Q8" t="s">
        <v>89</v>
      </c>
      <c r="R8" t="s">
        <v>90</v>
      </c>
      <c r="S8" t="s">
        <v>28</v>
      </c>
      <c r="T8" t="s">
        <v>69</v>
      </c>
      <c r="U8" t="s">
        <v>69</v>
      </c>
    </row>
    <row r="9" spans="1:21" x14ac:dyDescent="0.25">
      <c r="A9" t="s">
        <v>94</v>
      </c>
      <c r="B9" t="s">
        <v>17</v>
      </c>
      <c r="C9" s="6">
        <v>1</v>
      </c>
      <c r="D9" s="7">
        <v>4.8</v>
      </c>
      <c r="E9" s="4">
        <v>950000</v>
      </c>
      <c r="F9" s="4">
        <v>0</v>
      </c>
      <c r="G9" s="1" t="s">
        <v>51</v>
      </c>
      <c r="H9" s="2" t="s">
        <v>156</v>
      </c>
      <c r="I9" t="s">
        <v>95</v>
      </c>
      <c r="J9" t="s">
        <v>96</v>
      </c>
      <c r="K9" t="s">
        <v>20</v>
      </c>
      <c r="L9" t="s">
        <v>97</v>
      </c>
      <c r="M9" t="s">
        <v>98</v>
      </c>
      <c r="N9" t="s">
        <v>99</v>
      </c>
      <c r="O9" t="s">
        <v>24</v>
      </c>
      <c r="P9" t="s">
        <v>25</v>
      </c>
      <c r="Q9" t="s">
        <v>100</v>
      </c>
      <c r="R9" t="s">
        <v>90</v>
      </c>
      <c r="S9" t="s">
        <v>69</v>
      </c>
      <c r="T9" t="s">
        <v>69</v>
      </c>
      <c r="U9" t="s">
        <v>69</v>
      </c>
    </row>
    <row r="10" spans="1:21" x14ac:dyDescent="0.25">
      <c r="A10" t="s">
        <v>101</v>
      </c>
      <c r="B10" t="s">
        <v>17</v>
      </c>
      <c r="C10" s="6">
        <v>2</v>
      </c>
      <c r="D10" s="6">
        <v>3.5</v>
      </c>
      <c r="E10" s="4">
        <v>800000</v>
      </c>
      <c r="F10" s="4">
        <v>0</v>
      </c>
      <c r="G10" t="s">
        <v>42</v>
      </c>
      <c r="H10" s="2" t="s">
        <v>216</v>
      </c>
      <c r="I10" t="s">
        <v>102</v>
      </c>
      <c r="J10" t="s">
        <v>102</v>
      </c>
      <c r="K10" t="s">
        <v>80</v>
      </c>
      <c r="L10" t="s">
        <v>103</v>
      </c>
      <c r="M10" t="s">
        <v>104</v>
      </c>
      <c r="N10" t="s">
        <v>105</v>
      </c>
      <c r="O10" t="s">
        <v>24</v>
      </c>
      <c r="P10" t="s">
        <v>67</v>
      </c>
      <c r="Q10" t="s">
        <v>106</v>
      </c>
      <c r="R10" t="s">
        <v>90</v>
      </c>
      <c r="S10" t="s">
        <v>69</v>
      </c>
      <c r="T10" t="s">
        <v>69</v>
      </c>
      <c r="U10" t="s">
        <v>69</v>
      </c>
    </row>
    <row r="11" spans="1:21" x14ac:dyDescent="0.25">
      <c r="A11" t="s">
        <v>107</v>
      </c>
      <c r="B11" t="s">
        <v>17</v>
      </c>
      <c r="C11" s="6">
        <v>2</v>
      </c>
      <c r="D11" s="7">
        <v>2.2999999999999998</v>
      </c>
      <c r="E11" s="4">
        <v>430000</v>
      </c>
      <c r="F11" s="4">
        <v>0</v>
      </c>
      <c r="G11" t="s">
        <v>108</v>
      </c>
      <c r="H11" s="2" t="s">
        <v>109</v>
      </c>
      <c r="I11" t="s">
        <v>102</v>
      </c>
      <c r="J11" t="s">
        <v>43</v>
      </c>
      <c r="K11" t="s">
        <v>110</v>
      </c>
      <c r="L11" t="s">
        <v>111</v>
      </c>
      <c r="M11" t="s">
        <v>112</v>
      </c>
      <c r="N11" t="s">
        <v>113</v>
      </c>
      <c r="O11" t="s">
        <v>66</v>
      </c>
      <c r="P11" t="s">
        <v>37</v>
      </c>
      <c r="Q11" t="s">
        <v>114</v>
      </c>
      <c r="R11" t="s">
        <v>27</v>
      </c>
      <c r="S11" t="s">
        <v>69</v>
      </c>
      <c r="T11" t="s">
        <v>115</v>
      </c>
      <c r="U11" t="s">
        <v>69</v>
      </c>
    </row>
    <row r="12" spans="1:21" x14ac:dyDescent="0.25">
      <c r="A12" t="s">
        <v>116</v>
      </c>
      <c r="B12" t="s">
        <v>41</v>
      </c>
      <c r="C12" s="6">
        <v>1</v>
      </c>
      <c r="D12" s="6">
        <v>0</v>
      </c>
      <c r="E12" s="4">
        <v>160000</v>
      </c>
      <c r="F12" s="4">
        <v>0</v>
      </c>
      <c r="G12" t="s">
        <v>51</v>
      </c>
      <c r="H12" s="2" t="s">
        <v>83</v>
      </c>
      <c r="I12" t="s">
        <v>117</v>
      </c>
      <c r="J12" t="s">
        <v>31</v>
      </c>
      <c r="K12" t="s">
        <v>118</v>
      </c>
      <c r="L12" t="s">
        <v>119</v>
      </c>
      <c r="M12" t="s">
        <v>120</v>
      </c>
      <c r="N12" t="s">
        <v>121</v>
      </c>
      <c r="O12" t="s">
        <v>24</v>
      </c>
      <c r="P12" t="s">
        <v>37</v>
      </c>
      <c r="Q12" t="s">
        <v>122</v>
      </c>
      <c r="R12" t="s">
        <v>90</v>
      </c>
      <c r="S12" t="s">
        <v>69</v>
      </c>
      <c r="T12" t="s">
        <v>28</v>
      </c>
      <c r="U12" t="s">
        <v>28</v>
      </c>
    </row>
    <row r="13" spans="1:21" x14ac:dyDescent="0.25">
      <c r="A13" t="s">
        <v>123</v>
      </c>
      <c r="B13" t="s">
        <v>30</v>
      </c>
      <c r="C13" s="6">
        <v>5</v>
      </c>
      <c r="D13" s="6">
        <v>19</v>
      </c>
      <c r="E13" s="4">
        <v>1920000</v>
      </c>
      <c r="F13" s="4">
        <v>1100000</v>
      </c>
      <c r="G13" t="s">
        <v>51</v>
      </c>
      <c r="H13" s="2" t="s">
        <v>93</v>
      </c>
      <c r="I13" t="s">
        <v>71</v>
      </c>
      <c r="J13" t="s">
        <v>124</v>
      </c>
      <c r="K13" t="s">
        <v>33</v>
      </c>
      <c r="L13" t="s">
        <v>125</v>
      </c>
      <c r="M13" t="s">
        <v>126</v>
      </c>
      <c r="N13" t="s">
        <v>127</v>
      </c>
      <c r="O13" t="s">
        <v>24</v>
      </c>
      <c r="P13" t="s">
        <v>37</v>
      </c>
      <c r="Q13" t="s">
        <v>128</v>
      </c>
      <c r="R13" t="s">
        <v>27</v>
      </c>
      <c r="S13" t="s">
        <v>69</v>
      </c>
      <c r="T13" t="s">
        <v>69</v>
      </c>
      <c r="U13" t="s">
        <v>69</v>
      </c>
    </row>
    <row r="14" spans="1:21" x14ac:dyDescent="0.25">
      <c r="A14" t="s">
        <v>129</v>
      </c>
      <c r="B14" t="s">
        <v>41</v>
      </c>
      <c r="C14" s="6">
        <v>3</v>
      </c>
      <c r="D14" s="6">
        <v>3</v>
      </c>
      <c r="E14" s="4">
        <v>650000</v>
      </c>
      <c r="F14" s="5">
        <v>0</v>
      </c>
      <c r="G14" t="s">
        <v>82</v>
      </c>
      <c r="H14" s="2" t="s">
        <v>83</v>
      </c>
      <c r="I14" t="s">
        <v>130</v>
      </c>
      <c r="J14" t="s">
        <v>130</v>
      </c>
      <c r="K14" t="s">
        <v>20</v>
      </c>
      <c r="L14" t="s">
        <v>131</v>
      </c>
      <c r="M14" t="s">
        <v>132</v>
      </c>
      <c r="N14" t="s">
        <v>133</v>
      </c>
      <c r="O14" t="s">
        <v>24</v>
      </c>
      <c r="P14" t="s">
        <v>25</v>
      </c>
      <c r="Q14" t="s">
        <v>134</v>
      </c>
      <c r="R14" t="s">
        <v>27</v>
      </c>
      <c r="S14" t="s">
        <v>69</v>
      </c>
      <c r="T14" t="s">
        <v>69</v>
      </c>
      <c r="U14" t="s">
        <v>69</v>
      </c>
    </row>
    <row r="15" spans="1:21" x14ac:dyDescent="0.25">
      <c r="A15" t="s">
        <v>135</v>
      </c>
      <c r="B15" t="s">
        <v>30</v>
      </c>
      <c r="C15" s="6">
        <v>4</v>
      </c>
      <c r="D15" s="6">
        <v>7</v>
      </c>
      <c r="E15" s="4">
        <v>861750</v>
      </c>
      <c r="F15" s="4">
        <v>710391</v>
      </c>
      <c r="G15" t="s">
        <v>92</v>
      </c>
      <c r="H15" s="2" t="s">
        <v>93</v>
      </c>
      <c r="I15" t="s">
        <v>31</v>
      </c>
      <c r="J15" t="s">
        <v>136</v>
      </c>
      <c r="K15" t="s">
        <v>33</v>
      </c>
      <c r="L15" t="s">
        <v>137</v>
      </c>
      <c r="M15" t="s">
        <v>138</v>
      </c>
      <c r="N15" t="s">
        <v>139</v>
      </c>
      <c r="O15" t="s">
        <v>24</v>
      </c>
      <c r="P15" t="s">
        <v>67</v>
      </c>
      <c r="Q15" t="s">
        <v>140</v>
      </c>
      <c r="R15" t="s">
        <v>90</v>
      </c>
      <c r="S15" t="s">
        <v>28</v>
      </c>
      <c r="T15" t="s">
        <v>28</v>
      </c>
      <c r="U15" t="s">
        <v>28</v>
      </c>
    </row>
    <row r="16" spans="1:21" x14ac:dyDescent="0.25">
      <c r="A16" t="s">
        <v>141</v>
      </c>
      <c r="B16" t="s">
        <v>30</v>
      </c>
      <c r="C16" s="6">
        <v>2</v>
      </c>
      <c r="D16" s="7">
        <v>5.9</v>
      </c>
      <c r="E16" s="5">
        <v>600000</v>
      </c>
      <c r="F16" s="5">
        <v>650000</v>
      </c>
      <c r="G16" t="s">
        <v>214</v>
      </c>
      <c r="H16" s="2" t="s">
        <v>93</v>
      </c>
      <c r="I16" t="s">
        <v>142</v>
      </c>
      <c r="J16" t="s">
        <v>143</v>
      </c>
      <c r="K16" t="s">
        <v>20</v>
      </c>
      <c r="L16" t="s">
        <v>144</v>
      </c>
      <c r="M16" t="s">
        <v>145</v>
      </c>
      <c r="N16" t="s">
        <v>146</v>
      </c>
      <c r="O16" t="s">
        <v>66</v>
      </c>
      <c r="P16" t="s">
        <v>67</v>
      </c>
      <c r="Q16" t="s">
        <v>147</v>
      </c>
      <c r="R16" t="s">
        <v>90</v>
      </c>
      <c r="S16" t="s">
        <v>69</v>
      </c>
      <c r="T16" t="s">
        <v>69</v>
      </c>
      <c r="U16" t="s">
        <v>69</v>
      </c>
    </row>
    <row r="17" spans="1:21" x14ac:dyDescent="0.25">
      <c r="A17" t="s">
        <v>148</v>
      </c>
      <c r="B17" t="s">
        <v>17</v>
      </c>
      <c r="C17" s="6">
        <v>1</v>
      </c>
      <c r="D17" s="7">
        <v>0.5</v>
      </c>
      <c r="E17" s="4">
        <v>200000</v>
      </c>
      <c r="F17" s="4">
        <v>0</v>
      </c>
      <c r="G17" t="s">
        <v>52</v>
      </c>
      <c r="H17" s="2" t="s">
        <v>83</v>
      </c>
      <c r="I17" t="s">
        <v>149</v>
      </c>
      <c r="J17" t="s">
        <v>143</v>
      </c>
      <c r="K17" t="s">
        <v>80</v>
      </c>
      <c r="L17" t="s">
        <v>150</v>
      </c>
      <c r="M17" t="s">
        <v>151</v>
      </c>
      <c r="N17" t="s">
        <v>152</v>
      </c>
      <c r="O17" t="s">
        <v>47</v>
      </c>
      <c r="P17" t="s">
        <v>25</v>
      </c>
      <c r="Q17" t="s">
        <v>153</v>
      </c>
      <c r="R17" t="s">
        <v>90</v>
      </c>
      <c r="S17" t="s">
        <v>69</v>
      </c>
      <c r="T17" t="s">
        <v>69</v>
      </c>
      <c r="U17" t="s">
        <v>69</v>
      </c>
    </row>
    <row r="18" spans="1:21" x14ac:dyDescent="0.25">
      <c r="A18" t="s">
        <v>154</v>
      </c>
      <c r="B18" t="s">
        <v>30</v>
      </c>
      <c r="C18" s="6">
        <v>2</v>
      </c>
      <c r="D18" s="6">
        <v>10</v>
      </c>
      <c r="E18" s="4">
        <v>1000000</v>
      </c>
      <c r="F18" s="4">
        <v>1200000</v>
      </c>
      <c r="G18" t="s">
        <v>155</v>
      </c>
      <c r="H18" s="2" t="s">
        <v>156</v>
      </c>
      <c r="I18" t="s">
        <v>18</v>
      </c>
      <c r="J18" t="s">
        <v>157</v>
      </c>
      <c r="K18" t="s">
        <v>110</v>
      </c>
      <c r="L18" t="s">
        <v>158</v>
      </c>
      <c r="M18" t="s">
        <v>159</v>
      </c>
      <c r="N18" t="s">
        <v>160</v>
      </c>
      <c r="O18" t="s">
        <v>47</v>
      </c>
      <c r="P18" t="s">
        <v>25</v>
      </c>
      <c r="Q18" t="s">
        <v>161</v>
      </c>
      <c r="R18" t="s">
        <v>90</v>
      </c>
      <c r="S18" t="s">
        <v>39</v>
      </c>
      <c r="T18" t="s">
        <v>39</v>
      </c>
      <c r="U18" t="s">
        <v>39</v>
      </c>
    </row>
    <row r="19" spans="1:21" x14ac:dyDescent="0.25">
      <c r="A19" t="s">
        <v>77</v>
      </c>
      <c r="B19" t="s">
        <v>17</v>
      </c>
      <c r="C19" s="6">
        <v>2</v>
      </c>
      <c r="D19" s="6">
        <v>3.6</v>
      </c>
      <c r="E19" s="4">
        <v>951000</v>
      </c>
      <c r="F19" s="4">
        <v>0</v>
      </c>
      <c r="G19" t="s">
        <v>51</v>
      </c>
      <c r="H19" s="2" t="s">
        <v>83</v>
      </c>
      <c r="I19" t="s">
        <v>43</v>
      </c>
      <c r="J19" t="s">
        <v>162</v>
      </c>
      <c r="K19" t="s">
        <v>80</v>
      </c>
      <c r="L19" t="s">
        <v>163</v>
      </c>
      <c r="M19" t="s">
        <v>164</v>
      </c>
      <c r="N19" t="s">
        <v>165</v>
      </c>
      <c r="O19" t="s">
        <v>24</v>
      </c>
      <c r="P19" t="s">
        <v>37</v>
      </c>
      <c r="Q19" t="s">
        <v>166</v>
      </c>
      <c r="R19" t="s">
        <v>167</v>
      </c>
      <c r="S19" t="s">
        <v>28</v>
      </c>
      <c r="T19" t="s">
        <v>39</v>
      </c>
      <c r="U19" t="s">
        <v>28</v>
      </c>
    </row>
    <row r="20" spans="1:21" x14ac:dyDescent="0.25">
      <c r="A20" t="s">
        <v>168</v>
      </c>
      <c r="B20" t="s">
        <v>30</v>
      </c>
      <c r="C20" s="6">
        <v>3</v>
      </c>
      <c r="D20" s="6">
        <v>17.5</v>
      </c>
      <c r="E20" s="5">
        <v>1950000</v>
      </c>
      <c r="F20" s="5">
        <v>1300000</v>
      </c>
      <c r="G20" s="1" t="s">
        <v>51</v>
      </c>
      <c r="H20" s="2" t="s">
        <v>93</v>
      </c>
      <c r="I20" t="s">
        <v>169</v>
      </c>
      <c r="J20" t="s">
        <v>18</v>
      </c>
      <c r="K20" t="s">
        <v>20</v>
      </c>
      <c r="L20" t="s">
        <v>170</v>
      </c>
      <c r="M20" t="s">
        <v>171</v>
      </c>
      <c r="N20" t="s">
        <v>46</v>
      </c>
      <c r="O20" t="s">
        <v>66</v>
      </c>
      <c r="P20" t="s">
        <v>67</v>
      </c>
      <c r="Q20" t="s">
        <v>172</v>
      </c>
      <c r="R20" t="s">
        <v>90</v>
      </c>
      <c r="S20" t="s">
        <v>28</v>
      </c>
      <c r="T20" t="s">
        <v>28</v>
      </c>
      <c r="U20" t="s">
        <v>69</v>
      </c>
    </row>
    <row r="21" spans="1:21" x14ac:dyDescent="0.25">
      <c r="A21" t="s">
        <v>173</v>
      </c>
      <c r="B21" t="s">
        <v>41</v>
      </c>
      <c r="C21" s="6">
        <v>2</v>
      </c>
      <c r="D21" s="6">
        <v>1</v>
      </c>
      <c r="E21" s="4">
        <v>330000</v>
      </c>
      <c r="F21" s="5">
        <v>0</v>
      </c>
      <c r="G21" t="s">
        <v>52</v>
      </c>
      <c r="H21" s="2" t="s">
        <v>108</v>
      </c>
      <c r="I21" t="s">
        <v>31</v>
      </c>
      <c r="J21" t="s">
        <v>174</v>
      </c>
      <c r="K21" t="s">
        <v>110</v>
      </c>
      <c r="L21" t="s">
        <v>175</v>
      </c>
      <c r="M21" t="s">
        <v>176</v>
      </c>
      <c r="N21" t="s">
        <v>177</v>
      </c>
      <c r="O21" t="s">
        <v>24</v>
      </c>
      <c r="P21" t="s">
        <v>67</v>
      </c>
      <c r="Q21" t="s">
        <v>178</v>
      </c>
      <c r="R21" t="s">
        <v>90</v>
      </c>
      <c r="S21" t="s">
        <v>69</v>
      </c>
      <c r="T21" t="s">
        <v>69</v>
      </c>
      <c r="U21" t="s">
        <v>69</v>
      </c>
    </row>
    <row r="22" spans="1:21" x14ac:dyDescent="0.25">
      <c r="A22" t="s">
        <v>179</v>
      </c>
      <c r="B22" t="s">
        <v>30</v>
      </c>
      <c r="C22" s="6">
        <v>4</v>
      </c>
      <c r="D22" s="6">
        <v>8</v>
      </c>
      <c r="E22" s="5"/>
      <c r="F22" s="5"/>
      <c r="H22" s="2"/>
      <c r="I22" t="s">
        <v>18</v>
      </c>
      <c r="J22" t="s">
        <v>180</v>
      </c>
      <c r="K22" t="s">
        <v>20</v>
      </c>
      <c r="L22" t="s">
        <v>181</v>
      </c>
      <c r="M22" t="s">
        <v>182</v>
      </c>
      <c r="N22" t="s">
        <v>183</v>
      </c>
      <c r="O22" t="s">
        <v>24</v>
      </c>
      <c r="P22" t="s">
        <v>67</v>
      </c>
      <c r="Q22" t="s">
        <v>184</v>
      </c>
      <c r="R22" t="s">
        <v>49</v>
      </c>
      <c r="S22" t="s">
        <v>28</v>
      </c>
      <c r="T22" t="s">
        <v>28</v>
      </c>
      <c r="U22" t="s">
        <v>28</v>
      </c>
    </row>
    <row r="23" spans="1:21" x14ac:dyDescent="0.25">
      <c r="A23" t="s">
        <v>185</v>
      </c>
      <c r="B23" t="s">
        <v>30</v>
      </c>
      <c r="C23" s="6">
        <v>1</v>
      </c>
      <c r="D23" s="8">
        <v>2.74</v>
      </c>
      <c r="E23" s="5">
        <v>508037.1</v>
      </c>
      <c r="F23" s="5">
        <v>224073.64</v>
      </c>
      <c r="G23" t="s">
        <v>92</v>
      </c>
      <c r="H23" s="2" t="s">
        <v>156</v>
      </c>
      <c r="I23" t="s">
        <v>186</v>
      </c>
      <c r="J23" t="s">
        <v>79</v>
      </c>
      <c r="K23" t="s">
        <v>33</v>
      </c>
      <c r="L23" t="s">
        <v>187</v>
      </c>
      <c r="M23" t="s">
        <v>188</v>
      </c>
      <c r="N23" t="s">
        <v>189</v>
      </c>
      <c r="O23" t="s">
        <v>66</v>
      </c>
      <c r="P23" t="s">
        <v>67</v>
      </c>
      <c r="Q23" t="s">
        <v>190</v>
      </c>
      <c r="R23" t="s">
        <v>49</v>
      </c>
      <c r="S23" t="s">
        <v>28</v>
      </c>
      <c r="T23" t="s">
        <v>39</v>
      </c>
      <c r="U23" t="s">
        <v>69</v>
      </c>
    </row>
    <row r="24" spans="1:21" x14ac:dyDescent="0.25">
      <c r="A24" t="s">
        <v>191</v>
      </c>
      <c r="B24" t="s">
        <v>17</v>
      </c>
      <c r="C24" s="7">
        <v>5</v>
      </c>
      <c r="D24" s="7">
        <v>1.75</v>
      </c>
      <c r="E24" s="4">
        <v>778000</v>
      </c>
      <c r="F24" s="5">
        <v>0</v>
      </c>
      <c r="G24" t="s">
        <v>92</v>
      </c>
      <c r="H24" s="2" t="s">
        <v>108</v>
      </c>
      <c r="I24" t="s">
        <v>192</v>
      </c>
      <c r="J24" t="s">
        <v>193</v>
      </c>
      <c r="K24" t="s">
        <v>80</v>
      </c>
      <c r="L24" t="s">
        <v>194</v>
      </c>
      <c r="M24" t="s">
        <v>195</v>
      </c>
      <c r="N24" t="s">
        <v>196</v>
      </c>
      <c r="O24" t="s">
        <v>66</v>
      </c>
      <c r="P24" t="s">
        <v>67</v>
      </c>
      <c r="Q24" t="s">
        <v>197</v>
      </c>
      <c r="R24" t="s">
        <v>27</v>
      </c>
      <c r="S24" t="s">
        <v>69</v>
      </c>
      <c r="T24" t="s">
        <v>69</v>
      </c>
      <c r="U24" t="s">
        <v>69</v>
      </c>
    </row>
    <row r="25" spans="1:21" x14ac:dyDescent="0.25">
      <c r="A25" t="s">
        <v>198</v>
      </c>
      <c r="B25" t="s">
        <v>41</v>
      </c>
      <c r="C25" s="6">
        <v>2</v>
      </c>
      <c r="D25" s="7">
        <v>9.74</v>
      </c>
      <c r="E25" s="5">
        <v>1645215.57</v>
      </c>
      <c r="F25" s="4">
        <v>0</v>
      </c>
      <c r="G25" t="s">
        <v>214</v>
      </c>
      <c r="H25" s="2"/>
      <c r="I25" t="s">
        <v>31</v>
      </c>
      <c r="J25" t="s">
        <v>31</v>
      </c>
      <c r="K25" t="s">
        <v>110</v>
      </c>
      <c r="L25" t="s">
        <v>171</v>
      </c>
      <c r="M25" t="s">
        <v>199</v>
      </c>
      <c r="N25" t="s">
        <v>200</v>
      </c>
      <c r="O25" t="s">
        <v>24</v>
      </c>
      <c r="P25" t="s">
        <v>37</v>
      </c>
      <c r="Q25" t="s">
        <v>201</v>
      </c>
      <c r="R25" t="s">
        <v>49</v>
      </c>
      <c r="S25" t="s">
        <v>28</v>
      </c>
      <c r="T25" t="s">
        <v>28</v>
      </c>
      <c r="U25" t="s">
        <v>28</v>
      </c>
    </row>
    <row r="26" spans="1:21" x14ac:dyDescent="0.25">
      <c r="A26" t="s">
        <v>91</v>
      </c>
      <c r="B26" t="s">
        <v>30</v>
      </c>
      <c r="C26" s="6">
        <v>3</v>
      </c>
      <c r="D26" s="6">
        <v>4</v>
      </c>
      <c r="E26" s="4">
        <v>755000</v>
      </c>
      <c r="F26" s="4">
        <v>484000</v>
      </c>
      <c r="G26" t="s">
        <v>92</v>
      </c>
      <c r="H26" s="2" t="s">
        <v>93</v>
      </c>
      <c r="I26" t="s">
        <v>43</v>
      </c>
      <c r="J26" t="s">
        <v>18</v>
      </c>
      <c r="K26" t="s">
        <v>20</v>
      </c>
      <c r="L26" t="s">
        <v>202</v>
      </c>
      <c r="M26" t="s">
        <v>203</v>
      </c>
      <c r="N26" t="s">
        <v>204</v>
      </c>
      <c r="O26" t="s">
        <v>66</v>
      </c>
      <c r="P26" t="s">
        <v>67</v>
      </c>
      <c r="Q26" t="s">
        <v>205</v>
      </c>
      <c r="R26" t="s">
        <v>90</v>
      </c>
      <c r="S26" t="s">
        <v>69</v>
      </c>
      <c r="T26" t="s">
        <v>69</v>
      </c>
      <c r="U26" t="s">
        <v>69</v>
      </c>
    </row>
    <row r="27" spans="1:21" x14ac:dyDescent="0.25">
      <c r="A27" t="s">
        <v>206</v>
      </c>
      <c r="B27" t="s">
        <v>17</v>
      </c>
      <c r="C27" s="6">
        <v>2</v>
      </c>
      <c r="D27" s="6">
        <v>1.78</v>
      </c>
      <c r="E27" s="4">
        <v>521000</v>
      </c>
      <c r="F27" s="4">
        <v>0</v>
      </c>
      <c r="G27" s="1" t="s">
        <v>155</v>
      </c>
      <c r="H27" s="3" t="s">
        <v>216</v>
      </c>
      <c r="I27" t="s">
        <v>53</v>
      </c>
      <c r="J27" t="s">
        <v>54</v>
      </c>
      <c r="K27" t="s">
        <v>80</v>
      </c>
      <c r="L27" t="s">
        <v>207</v>
      </c>
      <c r="M27" t="s">
        <v>208</v>
      </c>
      <c r="N27" t="s">
        <v>209</v>
      </c>
      <c r="O27" t="s">
        <v>66</v>
      </c>
      <c r="P27" t="s">
        <v>67</v>
      </c>
      <c r="Q27" t="s">
        <v>210</v>
      </c>
      <c r="R27" t="s">
        <v>90</v>
      </c>
      <c r="S27" t="s">
        <v>69</v>
      </c>
      <c r="T27" t="s">
        <v>69</v>
      </c>
      <c r="U27" t="s">
        <v>69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33E5-EF2C-4C77-BEC1-95DAC1BCBA58}">
  <dimension ref="A1:U18"/>
  <sheetViews>
    <sheetView workbookViewId="0">
      <selection activeCell="E26" sqref="E26"/>
    </sheetView>
  </sheetViews>
  <sheetFormatPr defaultRowHeight="15" x14ac:dyDescent="0.25"/>
  <cols>
    <col min="1" max="2" width="20" bestFit="1" customWidth="1"/>
    <col min="3" max="3" width="13.28515625" customWidth="1"/>
    <col min="4" max="4" width="20" bestFit="1" customWidth="1"/>
    <col min="5" max="5" width="23.7109375" customWidth="1"/>
    <col min="6" max="6" width="37.42578125" customWidth="1"/>
    <col min="7" max="7" width="13.140625" customWidth="1"/>
    <col min="8" max="8" width="33" customWidth="1"/>
    <col min="9" max="10" width="20" bestFit="1" customWidth="1"/>
    <col min="11" max="11" width="51.28515625" customWidth="1"/>
    <col min="12" max="12" width="42.42578125" customWidth="1"/>
    <col min="13" max="13" width="20" bestFit="1" customWidth="1"/>
    <col min="14" max="14" width="43.5703125" customWidth="1"/>
    <col min="15" max="15" width="42" customWidth="1"/>
    <col min="16" max="16" width="20" bestFit="1" customWidth="1"/>
    <col min="17" max="17" width="19.5703125" customWidth="1"/>
    <col min="18" max="21" width="20" bestFit="1" customWidth="1"/>
  </cols>
  <sheetData>
    <row r="1" spans="1:21" x14ac:dyDescent="0.25">
      <c r="A1" t="s">
        <v>220</v>
      </c>
      <c r="B1" t="s">
        <v>221</v>
      </c>
      <c r="C1" t="s">
        <v>222</v>
      </c>
      <c r="D1" t="s">
        <v>223</v>
      </c>
      <c r="E1" t="s">
        <v>224</v>
      </c>
      <c r="F1" t="s">
        <v>225</v>
      </c>
      <c r="G1" t="s">
        <v>226</v>
      </c>
      <c r="H1" t="s">
        <v>227</v>
      </c>
      <c r="I1" t="s">
        <v>228</v>
      </c>
      <c r="J1" t="s">
        <v>229</v>
      </c>
      <c r="K1" t="s">
        <v>230</v>
      </c>
      <c r="L1" t="s">
        <v>231</v>
      </c>
      <c r="M1" t="s">
        <v>232</v>
      </c>
      <c r="N1" t="s">
        <v>233</v>
      </c>
      <c r="O1" t="s">
        <v>234</v>
      </c>
      <c r="P1" t="s">
        <v>235</v>
      </c>
      <c r="Q1" t="s">
        <v>236</v>
      </c>
      <c r="R1" t="s">
        <v>237</v>
      </c>
      <c r="S1" t="s">
        <v>238</v>
      </c>
      <c r="T1" t="s">
        <v>239</v>
      </c>
      <c r="U1" t="s">
        <v>240</v>
      </c>
    </row>
    <row r="2" spans="1:21" x14ac:dyDescent="0.25">
      <c r="A2" t="s">
        <v>250</v>
      </c>
      <c r="B2" t="s">
        <v>242</v>
      </c>
      <c r="C2" s="6">
        <v>1</v>
      </c>
      <c r="D2" s="7">
        <v>1.5</v>
      </c>
      <c r="E2" s="7">
        <v>400000</v>
      </c>
      <c r="F2" s="6">
        <v>0</v>
      </c>
      <c r="G2" t="s">
        <v>156</v>
      </c>
      <c r="H2" t="s">
        <v>83</v>
      </c>
      <c r="I2" t="s">
        <v>31</v>
      </c>
      <c r="J2" t="s">
        <v>31</v>
      </c>
      <c r="K2" t="s">
        <v>251</v>
      </c>
      <c r="L2" t="s">
        <v>252</v>
      </c>
      <c r="M2" t="s">
        <v>253</v>
      </c>
      <c r="N2" t="s">
        <v>254</v>
      </c>
      <c r="O2" t="s">
        <v>255</v>
      </c>
      <c r="P2" t="s">
        <v>245</v>
      </c>
      <c r="Q2" t="s">
        <v>256</v>
      </c>
      <c r="R2" t="s">
        <v>257</v>
      </c>
      <c r="S2" t="s">
        <v>258</v>
      </c>
      <c r="T2" t="s">
        <v>249</v>
      </c>
      <c r="U2" t="s">
        <v>249</v>
      </c>
    </row>
    <row r="3" spans="1:21" x14ac:dyDescent="0.25">
      <c r="A3" t="s">
        <v>259</v>
      </c>
      <c r="B3" t="s">
        <v>242</v>
      </c>
      <c r="C3" s="6">
        <v>1</v>
      </c>
      <c r="D3" s="6">
        <v>0</v>
      </c>
      <c r="E3" s="7">
        <v>180000</v>
      </c>
      <c r="F3" s="6">
        <v>0</v>
      </c>
      <c r="G3" t="s">
        <v>260</v>
      </c>
      <c r="H3" t="s">
        <v>216</v>
      </c>
      <c r="I3" t="s">
        <v>102</v>
      </c>
      <c r="J3" t="s">
        <v>102</v>
      </c>
      <c r="K3" t="s">
        <v>251</v>
      </c>
      <c r="L3" t="s">
        <v>261</v>
      </c>
      <c r="M3" t="s">
        <v>262</v>
      </c>
      <c r="N3" t="s">
        <v>263</v>
      </c>
      <c r="O3" t="s">
        <v>255</v>
      </c>
      <c r="P3" t="s">
        <v>245</v>
      </c>
      <c r="Q3" t="s">
        <v>264</v>
      </c>
      <c r="R3" t="s">
        <v>246</v>
      </c>
      <c r="S3" t="s">
        <v>247</v>
      </c>
      <c r="T3" t="s">
        <v>248</v>
      </c>
      <c r="U3" t="s">
        <v>249</v>
      </c>
    </row>
    <row r="4" spans="1:21" x14ac:dyDescent="0.25">
      <c r="A4" t="s">
        <v>266</v>
      </c>
      <c r="B4" t="s">
        <v>242</v>
      </c>
      <c r="C4" s="6">
        <v>1</v>
      </c>
      <c r="D4" s="6">
        <v>3</v>
      </c>
      <c r="E4" s="6">
        <v>380000</v>
      </c>
      <c r="F4" s="6">
        <v>0</v>
      </c>
      <c r="G4" t="s">
        <v>42</v>
      </c>
      <c r="H4" t="s">
        <v>83</v>
      </c>
      <c r="I4" t="s">
        <v>169</v>
      </c>
      <c r="J4" t="s">
        <v>267</v>
      </c>
      <c r="K4" t="s">
        <v>243</v>
      </c>
      <c r="L4" t="s">
        <v>268</v>
      </c>
      <c r="M4" t="s">
        <v>269</v>
      </c>
      <c r="N4" t="s">
        <v>270</v>
      </c>
      <c r="O4" t="s">
        <v>244</v>
      </c>
      <c r="P4" t="s">
        <v>271</v>
      </c>
      <c r="Q4" t="s">
        <v>272</v>
      </c>
      <c r="R4" t="s">
        <v>257</v>
      </c>
      <c r="S4" t="s">
        <v>248</v>
      </c>
      <c r="T4" t="s">
        <v>248</v>
      </c>
      <c r="U4" t="s">
        <v>248</v>
      </c>
    </row>
    <row r="5" spans="1:21" x14ac:dyDescent="0.25">
      <c r="A5" t="s">
        <v>273</v>
      </c>
      <c r="B5" t="s">
        <v>242</v>
      </c>
      <c r="C5" s="7">
        <v>1</v>
      </c>
      <c r="D5" s="6">
        <v>19.5</v>
      </c>
      <c r="E5" s="6">
        <v>2300000</v>
      </c>
      <c r="F5" s="6">
        <v>0</v>
      </c>
      <c r="G5" t="s">
        <v>92</v>
      </c>
      <c r="H5" t="s">
        <v>83</v>
      </c>
      <c r="I5" t="s">
        <v>274</v>
      </c>
      <c r="J5" t="s">
        <v>19</v>
      </c>
      <c r="K5" t="s">
        <v>251</v>
      </c>
      <c r="L5" t="s">
        <v>275</v>
      </c>
      <c r="M5" t="s">
        <v>276</v>
      </c>
      <c r="N5" t="s">
        <v>277</v>
      </c>
      <c r="O5" t="s">
        <v>278</v>
      </c>
      <c r="P5" t="s">
        <v>271</v>
      </c>
      <c r="Q5" t="s">
        <v>279</v>
      </c>
      <c r="R5" t="s">
        <v>280</v>
      </c>
      <c r="S5" t="s">
        <v>247</v>
      </c>
      <c r="T5" t="s">
        <v>249</v>
      </c>
      <c r="U5" t="s">
        <v>249</v>
      </c>
    </row>
    <row r="6" spans="1:21" x14ac:dyDescent="0.25">
      <c r="A6" t="s">
        <v>281</v>
      </c>
      <c r="B6" t="s">
        <v>242</v>
      </c>
      <c r="C6" s="6">
        <v>2</v>
      </c>
      <c r="D6" s="7">
        <v>4.5</v>
      </c>
      <c r="E6" s="7">
        <v>500000</v>
      </c>
      <c r="F6" s="6">
        <v>0</v>
      </c>
      <c r="G6" t="s">
        <v>155</v>
      </c>
      <c r="H6" t="s">
        <v>83</v>
      </c>
      <c r="I6" t="s">
        <v>282</v>
      </c>
      <c r="J6" t="s">
        <v>149</v>
      </c>
      <c r="K6" t="s">
        <v>243</v>
      </c>
      <c r="L6" t="s">
        <v>283</v>
      </c>
      <c r="M6" t="s">
        <v>284</v>
      </c>
      <c r="N6" t="s">
        <v>285</v>
      </c>
      <c r="O6" t="s">
        <v>244</v>
      </c>
      <c r="P6" t="s">
        <v>271</v>
      </c>
      <c r="Q6" t="s">
        <v>286</v>
      </c>
      <c r="R6" t="s">
        <v>257</v>
      </c>
      <c r="S6" t="s">
        <v>258</v>
      </c>
      <c r="T6" t="s">
        <v>248</v>
      </c>
      <c r="U6" t="s">
        <v>248</v>
      </c>
    </row>
    <row r="7" spans="1:21" x14ac:dyDescent="0.25">
      <c r="A7" t="s">
        <v>287</v>
      </c>
      <c r="B7" t="s">
        <v>242</v>
      </c>
      <c r="C7" s="6">
        <v>1</v>
      </c>
      <c r="D7" s="7">
        <v>3.5</v>
      </c>
      <c r="E7" s="7">
        <v>590000</v>
      </c>
      <c r="F7" s="7">
        <v>0</v>
      </c>
      <c r="G7" t="s">
        <v>214</v>
      </c>
      <c r="H7" t="s">
        <v>288</v>
      </c>
      <c r="I7" t="s">
        <v>31</v>
      </c>
      <c r="J7" t="s">
        <v>31</v>
      </c>
      <c r="K7" t="s">
        <v>243</v>
      </c>
      <c r="L7" t="s">
        <v>289</v>
      </c>
      <c r="M7" t="s">
        <v>290</v>
      </c>
      <c r="N7" t="s">
        <v>291</v>
      </c>
      <c r="O7" t="s">
        <v>244</v>
      </c>
      <c r="P7" t="s">
        <v>245</v>
      </c>
      <c r="Q7" t="s">
        <v>292</v>
      </c>
      <c r="R7" t="s">
        <v>246</v>
      </c>
      <c r="S7" t="s">
        <v>249</v>
      </c>
      <c r="T7" t="s">
        <v>249</v>
      </c>
      <c r="U7" t="s">
        <v>249</v>
      </c>
    </row>
    <row r="8" spans="1:21" x14ac:dyDescent="0.25">
      <c r="A8" t="s">
        <v>293</v>
      </c>
      <c r="B8" t="s">
        <v>294</v>
      </c>
      <c r="C8" s="6">
        <v>1</v>
      </c>
      <c r="D8" s="7">
        <v>11.76</v>
      </c>
      <c r="E8" s="7">
        <v>2245000</v>
      </c>
      <c r="F8" s="7">
        <v>2000000</v>
      </c>
      <c r="G8" t="s">
        <v>214</v>
      </c>
      <c r="H8" t="s">
        <v>83</v>
      </c>
      <c r="I8" t="s">
        <v>295</v>
      </c>
      <c r="J8" t="s">
        <v>54</v>
      </c>
      <c r="K8" t="s">
        <v>296</v>
      </c>
      <c r="L8" t="s">
        <v>297</v>
      </c>
      <c r="M8" t="s">
        <v>276</v>
      </c>
      <c r="N8" t="s">
        <v>298</v>
      </c>
      <c r="O8" t="s">
        <v>255</v>
      </c>
      <c r="P8" t="s">
        <v>245</v>
      </c>
      <c r="Q8" t="s">
        <v>299</v>
      </c>
      <c r="R8" t="s">
        <v>300</v>
      </c>
      <c r="S8" t="s">
        <v>248</v>
      </c>
      <c r="T8" t="s">
        <v>248</v>
      </c>
      <c r="U8" t="s">
        <v>248</v>
      </c>
    </row>
    <row r="9" spans="1:21" x14ac:dyDescent="0.25">
      <c r="A9" t="s">
        <v>301</v>
      </c>
      <c r="B9" t="s">
        <v>302</v>
      </c>
      <c r="C9" s="6">
        <v>1</v>
      </c>
      <c r="D9" s="6">
        <v>0</v>
      </c>
      <c r="E9" s="6">
        <v>250000</v>
      </c>
      <c r="F9" s="6">
        <v>0</v>
      </c>
      <c r="G9" t="s">
        <v>92</v>
      </c>
      <c r="H9" t="s">
        <v>288</v>
      </c>
      <c r="I9" t="s">
        <v>102</v>
      </c>
      <c r="J9" t="s">
        <v>43</v>
      </c>
      <c r="K9" t="s">
        <v>251</v>
      </c>
      <c r="L9" t="s">
        <v>303</v>
      </c>
      <c r="M9" t="s">
        <v>304</v>
      </c>
      <c r="N9" t="s">
        <v>305</v>
      </c>
      <c r="O9" t="s">
        <v>244</v>
      </c>
      <c r="P9" t="s">
        <v>245</v>
      </c>
      <c r="Q9" t="s">
        <v>306</v>
      </c>
      <c r="R9" t="s">
        <v>300</v>
      </c>
      <c r="S9" t="s">
        <v>248</v>
      </c>
      <c r="T9" t="s">
        <v>248</v>
      </c>
      <c r="U9" t="s">
        <v>248</v>
      </c>
    </row>
    <row r="10" spans="1:21" x14ac:dyDescent="0.25">
      <c r="A10" t="s">
        <v>307</v>
      </c>
      <c r="B10" t="s">
        <v>242</v>
      </c>
      <c r="C10" s="6">
        <v>4</v>
      </c>
      <c r="D10" s="6">
        <v>9</v>
      </c>
      <c r="E10" s="6">
        <v>1250000</v>
      </c>
      <c r="F10" s="6">
        <v>0</v>
      </c>
      <c r="G10" t="s">
        <v>92</v>
      </c>
      <c r="H10" t="s">
        <v>78</v>
      </c>
      <c r="I10" t="s">
        <v>18</v>
      </c>
      <c r="J10" t="s">
        <v>169</v>
      </c>
      <c r="K10" t="s">
        <v>296</v>
      </c>
      <c r="L10" t="s">
        <v>308</v>
      </c>
      <c r="M10" t="s">
        <v>309</v>
      </c>
      <c r="N10" t="s">
        <v>310</v>
      </c>
      <c r="O10" t="s">
        <v>244</v>
      </c>
      <c r="P10" t="s">
        <v>271</v>
      </c>
      <c r="Q10" t="s">
        <v>311</v>
      </c>
      <c r="R10" t="s">
        <v>312</v>
      </c>
      <c r="S10" t="s">
        <v>258</v>
      </c>
      <c r="T10" t="s">
        <v>248</v>
      </c>
      <c r="U10" t="s">
        <v>248</v>
      </c>
    </row>
    <row r="11" spans="1:21" x14ac:dyDescent="0.25">
      <c r="A11" t="s">
        <v>241</v>
      </c>
      <c r="B11" t="s">
        <v>242</v>
      </c>
      <c r="C11" s="6">
        <v>2</v>
      </c>
      <c r="D11" s="6">
        <v>1</v>
      </c>
      <c r="E11" s="6">
        <v>420000</v>
      </c>
      <c r="F11" s="6">
        <v>0</v>
      </c>
      <c r="G11" t="s">
        <v>51</v>
      </c>
      <c r="H11" t="s">
        <v>108</v>
      </c>
      <c r="I11" t="s">
        <v>169</v>
      </c>
      <c r="J11" t="s">
        <v>95</v>
      </c>
      <c r="K11" t="s">
        <v>296</v>
      </c>
      <c r="L11" t="s">
        <v>313</v>
      </c>
      <c r="M11" t="s">
        <v>314</v>
      </c>
      <c r="N11" t="s">
        <v>315</v>
      </c>
      <c r="O11" t="s">
        <v>255</v>
      </c>
      <c r="P11" t="s">
        <v>245</v>
      </c>
      <c r="Q11" t="s">
        <v>316</v>
      </c>
      <c r="R11" t="s">
        <v>246</v>
      </c>
      <c r="S11" t="s">
        <v>258</v>
      </c>
      <c r="T11" t="s">
        <v>249</v>
      </c>
      <c r="U11" t="s">
        <v>249</v>
      </c>
    </row>
    <row r="12" spans="1:21" x14ac:dyDescent="0.25">
      <c r="A12" t="s">
        <v>317</v>
      </c>
      <c r="B12" t="s">
        <v>242</v>
      </c>
      <c r="C12" s="6">
        <v>2</v>
      </c>
      <c r="D12" s="7">
        <v>4.5</v>
      </c>
      <c r="E12" s="7">
        <v>925000</v>
      </c>
      <c r="F12" s="6">
        <v>0</v>
      </c>
      <c r="G12" t="s">
        <v>42</v>
      </c>
      <c r="H12" t="s">
        <v>83</v>
      </c>
      <c r="I12" t="s">
        <v>54</v>
      </c>
      <c r="J12" t="s">
        <v>54</v>
      </c>
      <c r="K12" t="s">
        <v>251</v>
      </c>
      <c r="L12" s="1" t="s">
        <v>318</v>
      </c>
      <c r="M12" t="s">
        <v>319</v>
      </c>
      <c r="N12" t="s">
        <v>320</v>
      </c>
      <c r="O12" t="s">
        <v>244</v>
      </c>
      <c r="P12" t="s">
        <v>271</v>
      </c>
      <c r="Q12" t="s">
        <v>321</v>
      </c>
      <c r="R12" t="s">
        <v>300</v>
      </c>
      <c r="S12" t="s">
        <v>322</v>
      </c>
      <c r="T12" t="s">
        <v>249</v>
      </c>
      <c r="U12" t="s">
        <v>249</v>
      </c>
    </row>
    <row r="13" spans="1:21" x14ac:dyDescent="0.25">
      <c r="A13" t="s">
        <v>323</v>
      </c>
      <c r="B13" t="s">
        <v>302</v>
      </c>
      <c r="C13" s="6">
        <v>1</v>
      </c>
      <c r="D13" s="6">
        <v>5</v>
      </c>
      <c r="E13" s="6">
        <v>550000</v>
      </c>
      <c r="F13" s="7">
        <v>0</v>
      </c>
      <c r="G13" t="s">
        <v>324</v>
      </c>
      <c r="H13" t="s">
        <v>78</v>
      </c>
      <c r="I13" t="s">
        <v>102</v>
      </c>
      <c r="J13" t="s">
        <v>325</v>
      </c>
      <c r="K13" t="s">
        <v>326</v>
      </c>
      <c r="L13" t="s">
        <v>327</v>
      </c>
      <c r="M13" t="s">
        <v>328</v>
      </c>
      <c r="N13" t="s">
        <v>329</v>
      </c>
      <c r="O13" t="s">
        <v>255</v>
      </c>
      <c r="P13" t="s">
        <v>245</v>
      </c>
      <c r="Q13" t="s">
        <v>330</v>
      </c>
      <c r="R13" t="s">
        <v>300</v>
      </c>
      <c r="S13" t="s">
        <v>248</v>
      </c>
      <c r="T13" t="s">
        <v>248</v>
      </c>
      <c r="U13" t="s">
        <v>248</v>
      </c>
    </row>
    <row r="14" spans="1:21" x14ac:dyDescent="0.25">
      <c r="A14" t="s">
        <v>265</v>
      </c>
      <c r="B14" t="s">
        <v>242</v>
      </c>
      <c r="C14" s="6">
        <v>1</v>
      </c>
      <c r="D14" s="6">
        <v>4</v>
      </c>
      <c r="E14" s="7"/>
      <c r="F14" s="7"/>
      <c r="G14" t="s">
        <v>92</v>
      </c>
      <c r="H14" t="s">
        <v>83</v>
      </c>
      <c r="I14" t="s">
        <v>331</v>
      </c>
      <c r="J14" t="s">
        <v>331</v>
      </c>
      <c r="K14" t="s">
        <v>251</v>
      </c>
      <c r="L14" t="s">
        <v>332</v>
      </c>
      <c r="M14" t="s">
        <v>333</v>
      </c>
      <c r="N14" t="s">
        <v>334</v>
      </c>
      <c r="O14" t="s">
        <v>255</v>
      </c>
      <c r="P14" t="s">
        <v>245</v>
      </c>
      <c r="Q14" t="s">
        <v>335</v>
      </c>
      <c r="R14" t="s">
        <v>257</v>
      </c>
      <c r="S14" t="s">
        <v>248</v>
      </c>
      <c r="T14" t="s">
        <v>248</v>
      </c>
      <c r="U14" t="s">
        <v>248</v>
      </c>
    </row>
    <row r="15" spans="1:21" x14ac:dyDescent="0.25">
      <c r="A15" t="s">
        <v>336</v>
      </c>
      <c r="B15" t="s">
        <v>242</v>
      </c>
      <c r="C15" s="6">
        <v>2</v>
      </c>
      <c r="D15" s="6">
        <v>6</v>
      </c>
      <c r="E15" s="7">
        <v>1200000</v>
      </c>
      <c r="F15" s="6">
        <v>0</v>
      </c>
      <c r="G15" t="s">
        <v>51</v>
      </c>
      <c r="H15" t="s">
        <v>78</v>
      </c>
      <c r="I15" t="s">
        <v>337</v>
      </c>
      <c r="J15" t="s">
        <v>72</v>
      </c>
      <c r="K15" t="s">
        <v>243</v>
      </c>
      <c r="L15" t="s">
        <v>338</v>
      </c>
      <c r="M15" t="s">
        <v>339</v>
      </c>
      <c r="N15" t="s">
        <v>340</v>
      </c>
      <c r="O15" t="s">
        <v>255</v>
      </c>
      <c r="P15" t="s">
        <v>245</v>
      </c>
      <c r="Q15" t="s">
        <v>341</v>
      </c>
      <c r="R15" t="s">
        <v>246</v>
      </c>
      <c r="S15" t="s">
        <v>258</v>
      </c>
      <c r="T15" t="s">
        <v>249</v>
      </c>
      <c r="U15" t="s">
        <v>249</v>
      </c>
    </row>
    <row r="16" spans="1:21" x14ac:dyDescent="0.25">
      <c r="A16" t="s">
        <v>342</v>
      </c>
      <c r="B16" t="s">
        <v>242</v>
      </c>
      <c r="C16" s="6">
        <v>2</v>
      </c>
      <c r="D16" s="7">
        <v>3.5</v>
      </c>
      <c r="E16" s="6">
        <v>280000</v>
      </c>
      <c r="F16" s="7">
        <v>0</v>
      </c>
      <c r="G16" t="s">
        <v>42</v>
      </c>
      <c r="H16" t="s">
        <v>78</v>
      </c>
      <c r="I16" t="s">
        <v>43</v>
      </c>
      <c r="J16" t="s">
        <v>102</v>
      </c>
      <c r="K16" t="s">
        <v>251</v>
      </c>
      <c r="L16" t="s">
        <v>343</v>
      </c>
      <c r="M16" t="s">
        <v>344</v>
      </c>
      <c r="N16" t="s">
        <v>345</v>
      </c>
      <c r="O16" t="s">
        <v>244</v>
      </c>
      <c r="P16" t="s">
        <v>271</v>
      </c>
      <c r="Q16" t="s">
        <v>346</v>
      </c>
      <c r="R16" t="s">
        <v>257</v>
      </c>
      <c r="S16" t="s">
        <v>247</v>
      </c>
      <c r="T16" t="s">
        <v>322</v>
      </c>
      <c r="U16" t="s">
        <v>248</v>
      </c>
    </row>
    <row r="17" spans="1:21" x14ac:dyDescent="0.25">
      <c r="A17" t="s">
        <v>347</v>
      </c>
      <c r="B17" t="s">
        <v>242</v>
      </c>
      <c r="C17" s="6">
        <v>1</v>
      </c>
      <c r="D17" s="6">
        <v>5</v>
      </c>
      <c r="E17" s="6">
        <v>825000</v>
      </c>
      <c r="F17" s="6">
        <v>0</v>
      </c>
      <c r="G17" t="s">
        <v>324</v>
      </c>
      <c r="H17" s="1" t="s">
        <v>78</v>
      </c>
      <c r="I17" t="s">
        <v>102</v>
      </c>
      <c r="J17" t="s">
        <v>102</v>
      </c>
      <c r="K17" t="s">
        <v>243</v>
      </c>
      <c r="L17" t="s">
        <v>348</v>
      </c>
      <c r="M17" t="s">
        <v>349</v>
      </c>
      <c r="N17" t="s">
        <v>350</v>
      </c>
      <c r="O17" t="s">
        <v>244</v>
      </c>
      <c r="P17" t="s">
        <v>271</v>
      </c>
      <c r="Q17" t="s">
        <v>351</v>
      </c>
      <c r="R17" t="s">
        <v>257</v>
      </c>
      <c r="S17" t="s">
        <v>249</v>
      </c>
      <c r="T17" t="s">
        <v>249</v>
      </c>
      <c r="U17" t="s">
        <v>249</v>
      </c>
    </row>
    <row r="18" spans="1:21" x14ac:dyDescent="0.25">
      <c r="A18" t="s">
        <v>352</v>
      </c>
      <c r="B18" t="s">
        <v>242</v>
      </c>
      <c r="C18" s="6">
        <v>2</v>
      </c>
      <c r="D18" s="6">
        <v>1</v>
      </c>
      <c r="E18" s="7">
        <v>390000</v>
      </c>
      <c r="F18" s="6">
        <v>0</v>
      </c>
      <c r="G18" t="s">
        <v>92</v>
      </c>
      <c r="H18" t="s">
        <v>83</v>
      </c>
      <c r="I18" t="s">
        <v>72</v>
      </c>
      <c r="J18" t="s">
        <v>353</v>
      </c>
      <c r="K18" t="s">
        <v>296</v>
      </c>
      <c r="L18" t="s">
        <v>354</v>
      </c>
      <c r="M18" t="s">
        <v>355</v>
      </c>
      <c r="N18" t="s">
        <v>356</v>
      </c>
      <c r="O18" t="s">
        <v>244</v>
      </c>
      <c r="P18" t="s">
        <v>271</v>
      </c>
      <c r="Q18" t="s">
        <v>357</v>
      </c>
      <c r="R18" t="s">
        <v>257</v>
      </c>
      <c r="S18" t="s">
        <v>249</v>
      </c>
      <c r="T18" t="s">
        <v>249</v>
      </c>
      <c r="U18" t="s">
        <v>249</v>
      </c>
    </row>
  </sheetData>
  <conditionalFormatting sqref="A1:A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010BCDC6B37941AEA81840AFA9EE7B" ma:contentTypeVersion="15" ma:contentTypeDescription="Een nieuw document maken." ma:contentTypeScope="" ma:versionID="1269d1d0628acdb3a9bf0856c32ac4f9">
  <xsd:schema xmlns:xsd="http://www.w3.org/2001/XMLSchema" xmlns:xs="http://www.w3.org/2001/XMLSchema" xmlns:p="http://schemas.microsoft.com/office/2006/metadata/properties" xmlns:ns2="6af0336e-f2eb-4cb3-97d8-32f967347d42" xmlns:ns3="ac6ebe88-fdd6-4d32-8c1d-6e6e38e01f77" targetNamespace="http://schemas.microsoft.com/office/2006/metadata/properties" ma:root="true" ma:fieldsID="72648e8903b15e0758d49d29c5c59daa" ns2:_="" ns3:_="">
    <xsd:import namespace="6af0336e-f2eb-4cb3-97d8-32f967347d42"/>
    <xsd:import namespace="ac6ebe88-fdd6-4d32-8c1d-6e6e38e01f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f0336e-f2eb-4cb3-97d8-32f967347d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cfdf4bae-7fa0-41e2-b558-59e1e1c7333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6ebe88-fdd6-4d32-8c1d-6e6e38e01f7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e336173-979a-4e03-a1e8-51edc42979e9}" ma:internalName="TaxCatchAll" ma:showField="CatchAllData" ma:web="ac6ebe88-fdd6-4d32-8c1d-6e6e38e01f7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6ebe88-fdd6-4d32-8c1d-6e6e38e01f77" xsi:nil="true"/>
    <lcf76f155ced4ddcb4097134ff3c332f xmlns="6af0336e-f2eb-4cb3-97d8-32f967347d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FADA5F-CB52-42C6-B20C-940A5E5985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f0336e-f2eb-4cb3-97d8-32f967347d42"/>
    <ds:schemaRef ds:uri="ac6ebe88-fdd6-4d32-8c1d-6e6e38e01f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1B2DFD-4DD1-4C2C-822E-821C25FC91B6}">
  <ds:schemaRefs>
    <ds:schemaRef ds:uri="http://schemas.microsoft.com/sharepoint/v3/contenttype/forms"/>
  </ds:schemaRefs>
</ds:datastoreItem>
</file>

<file path=customXml/itemProps3.xml><?xml version="1.0" encoding="utf-8"?>
<ds:datastoreItem xmlns:ds="http://schemas.openxmlformats.org/officeDocument/2006/customXml" ds:itemID="{920DF4A2-498D-4F56-AC2B-2E4468D200DB}">
  <ds:schemaRefs>
    <ds:schemaRef ds:uri="http://schemas.microsoft.com/office/2006/metadata/properties"/>
    <ds:schemaRef ds:uri="http://schemas.microsoft.com/office/infopath/2007/PartnerControls"/>
    <ds:schemaRef ds:uri="ac6ebe88-fdd6-4d32-8c1d-6e6e38e01f77"/>
    <ds:schemaRef ds:uri="6af0336e-f2eb-4cb3-97d8-32f967347d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NL</vt:lpstr>
      <vt:lpstr>FR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 Defreyne</dc:creator>
  <cp:keywords/>
  <dc:description/>
  <cp:lastModifiedBy>Vincent Defreyne</cp:lastModifiedBy>
  <cp:revision/>
  <dcterms:created xsi:type="dcterms:W3CDTF">2026-02-19T07:34:57Z</dcterms:created>
  <dcterms:modified xsi:type="dcterms:W3CDTF">2026-03-21T11:49:36Z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0x010100CB010BCDC6B37941AEA81840AFA9EE7B</vt:lpwstr>
  </property>
  <property fmtid="{D5CDD505-2E9C-101B-9397-08002B2CF9AE}" pid="3" name="MediaServiceImageTags">
    <vt:lpwstr/>
  </property>
</Properties>
</file>